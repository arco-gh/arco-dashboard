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1a289e8cd36449/Educación/UDEM/Materias/13 Proyecto de innovacion/BDs/"/>
    </mc:Choice>
  </mc:AlternateContent>
  <xr:revisionPtr revIDLastSave="183" documentId="8_{FF58445E-2659-4AA2-B9AB-91807C8CDA45}" xr6:coauthVersionLast="47" xr6:coauthVersionMax="47" xr10:uidLastSave="{F8D4134A-E24D-4B64-A240-BCFFD78FCBCB}"/>
  <bookViews>
    <workbookView xWindow="32280" yWindow="-120" windowWidth="29040" windowHeight="15720" tabRatio="755" activeTab="7" xr2:uid="{744567E5-928D-4148-9F05-78F6D7E4DCBE}"/>
  </bookViews>
  <sheets>
    <sheet name="1.Afluencia" sheetId="1" r:id="rId1"/>
    <sheet name="2.Consumo-de-energia" sheetId="2" r:id="rId2"/>
    <sheet name="3.Consumo-de-agua" sheetId="3" r:id="rId3"/>
    <sheet name="4.Clima" sheetId="4" r:id="rId4"/>
    <sheet name="5.Gasto-vs-presupuesto" sheetId="5" r:id="rId5"/>
    <sheet name="6.Ingresos" sheetId="7" r:id="rId6"/>
    <sheet name="7.Ocupacion" sheetId="8" r:id="rId7"/>
    <sheet name="8.Ventas-socios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9" l="1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B2" i="9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2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2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G14" i="2" l="1"/>
  <c r="G15" i="2"/>
  <c r="G16" i="2"/>
  <c r="G17" i="2"/>
  <c r="G19" i="2"/>
  <c r="G20" i="2"/>
  <c r="G21" i="2"/>
  <c r="G22" i="2"/>
  <c r="G23" i="2"/>
  <c r="G24" i="2"/>
  <c r="G25" i="2"/>
  <c r="G26" i="2"/>
  <c r="G27" i="2"/>
  <c r="G28" i="2"/>
  <c r="G29" i="2"/>
  <c r="G33" i="2"/>
  <c r="G34" i="2"/>
  <c r="G35" i="2"/>
  <c r="G36" i="2"/>
  <c r="G37" i="2"/>
  <c r="C26" i="2"/>
  <c r="C27" i="2"/>
  <c r="C28" i="2"/>
  <c r="C29" i="2"/>
  <c r="C30" i="2"/>
  <c r="C31" i="2"/>
  <c r="C32" i="2"/>
  <c r="C33" i="2"/>
  <c r="C34" i="2"/>
  <c r="C35" i="2"/>
  <c r="C36" i="2"/>
  <c r="C37" i="2"/>
  <c r="C25" i="2"/>
  <c r="C24" i="2"/>
  <c r="C23" i="2"/>
  <c r="C22" i="2"/>
  <c r="C21" i="2"/>
  <c r="C20" i="2"/>
  <c r="C19" i="2"/>
  <c r="C18" i="2"/>
  <c r="C17" i="2"/>
  <c r="C16" i="2"/>
  <c r="C15" i="2"/>
  <c r="C14" i="2"/>
  <c r="C3" i="2"/>
  <c r="C4" i="2"/>
  <c r="C5" i="2"/>
  <c r="C6" i="2"/>
  <c r="C7" i="2"/>
  <c r="C8" i="2"/>
  <c r="C9" i="2"/>
  <c r="C10" i="2"/>
  <c r="C11" i="2"/>
  <c r="C12" i="2"/>
  <c r="C13" i="2"/>
  <c r="C2" i="2"/>
  <c r="G3" i="2"/>
  <c r="G4" i="2"/>
  <c r="G5" i="2"/>
  <c r="G8" i="2"/>
  <c r="G9" i="2"/>
  <c r="G10" i="2"/>
  <c r="G11" i="2"/>
  <c r="G12" i="2"/>
  <c r="G13" i="2"/>
  <c r="G2" i="2"/>
</calcChain>
</file>

<file path=xl/sharedStrings.xml><?xml version="1.0" encoding="utf-8"?>
<sst xmlns="http://schemas.openxmlformats.org/spreadsheetml/2006/main" count="582" uniqueCount="48">
  <si>
    <t>Enero</t>
  </si>
  <si>
    <t>Diciembre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</si>
  <si>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</si>
  <si>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</si>
  <si>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</si>
  <si>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</si>
  <si>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</si>
  <si>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</si>
  <si>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</si>
  <si>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</si>
  <si>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</si>
  <si>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</si>
  <si>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precio-medio-energia-kwh</t>
  </si>
  <si>
    <t>fecha</t>
  </si>
  <si>
    <t>año</t>
  </si>
  <si>
    <t>mes-en-numero</t>
  </si>
  <si>
    <t>mes-en-letra</t>
  </si>
  <si>
    <t>consumo-cfe-kwh</t>
  </si>
  <si>
    <t>semana</t>
  </si>
  <si>
    <t>afluencia</t>
  </si>
  <si>
    <t>gasto-energia</t>
  </si>
  <si>
    <t>consumo-m3-agua</t>
  </si>
  <si>
    <t>gasto-agua</t>
  </si>
  <si>
    <t>precio-medio-agua-m3</t>
  </si>
  <si>
    <t>temperatura-media</t>
  </si>
  <si>
    <t>temperatura-maxima</t>
  </si>
  <si>
    <t>temperatura-minima</t>
  </si>
  <si>
    <t>humedad</t>
  </si>
  <si>
    <t>gasto-operativo-total</t>
  </si>
  <si>
    <t>presupuesto-gasto-operativo-total</t>
  </si>
  <si>
    <t>precipitacion</t>
  </si>
  <si>
    <t>ingresos_por_renta</t>
  </si>
  <si>
    <t>locales-ocupados</t>
  </si>
  <si>
    <t>locales-disponibles</t>
  </si>
  <si>
    <t>porcentaje-ocupacion</t>
  </si>
  <si>
    <t>venta-socios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</si>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</sst>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Montserra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43" fontId="0" fillId="0" borderId="0" xfId="1" applyFont="1" applyAlignment="1">
      <alignment horizontal="center" vertical="top"/>
    </xf>
    <xf numFmtId="0" fontId="0" fillId="0" borderId="0" xfId="0" applyAlignment="1">
      <alignment horizontal="center" vertical="top"/>
    </xf>
    <xf numFmtId="164" fontId="0" fillId="0" borderId="0" xfId="1" applyNumberFormat="1" applyFont="1" applyAlignment="1">
      <alignment horizontal="center" vertical="top"/>
    </xf>
    <xf numFmtId="2" fontId="0" fillId="0" borderId="0" xfId="0" applyNumberFormat="1"/>
    <xf numFmtId="14" fontId="0" fillId="0" borderId="0" xfId="0" applyNumberFormat="1" applyAlignment="1">
      <alignment vertical="top"/>
    </xf>
  </cellXfs>
  <cellStyles count="6">
    <cellStyle name="Millares" xfId="1" builtinId="3"/>
    <cellStyle name="Millares 2" xfId="4" xr:uid="{23E76AF8-691E-4EDD-9C9E-86B53C8FDC74}"/>
    <cellStyle name="Moneda 2" xfId="5" xr:uid="{9A5FBBB4-D43B-4C96-973F-0E1C327D3238}"/>
    <cellStyle name="Normal" xfId="0" builtinId="0"/>
    <cellStyle name="Normal 2" xfId="2" xr:uid="{F55DB583-0A52-400A-BB41-D7292C83B508}"/>
    <cellStyle name="Porcentaje 2" xfId="3" xr:uid="{EE739C02-011C-4C19-ABED-EB3DAD748A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C7789-66D3-47B1-8836-C6BD13C0618C}">
  <sheetPr>
    <tabColor rgb="FF00B050"/>
    <pageSetUpPr fitToPage="1"/>
  </sheetPr>
  <dimension ref="A1:F157"/>
  <sheetViews>
    <sheetView showGridLines="0" workbookViewId="0">
      <pane xSplit="5" ySplit="1" topLeftCell="F2" activePane="bottomRight" state="frozen"/>
      <selection pane="topRight" activeCell="D1" sqref="D1"/>
      <selection pane="bottomLeft" activeCell="A2" sqref="A2"/>
      <selection pane="bottomRight" activeCell="A2" sqref="A2"/>
    </sheetView>
  </sheetViews>
  <sheetFormatPr baseColWidth="10" defaultRowHeight="14.4" x14ac:dyDescent="0.3"/>
  <cols>
    <col min="2" max="2" width="6.44140625" customWidth="1"/>
    <col min="3" max="4" width="6.21875" customWidth="1"/>
    <col min="5" max="5" width="12" customWidth="1"/>
  </cols>
  <sheetData>
    <row r="1" spans="1:6" x14ac:dyDescent="0.3">
      <c r="A1" s="2" t="s">
        <v>13</v>
      </c>
      <c r="B1" s="8" t="s">
        <v>18</v>
      </c>
      <c r="C1" s="3" t="s">
        <v>14</v>
      </c>
      <c r="D1" s="5" t="s">
        <v>15</v>
      </c>
      <c r="E1" s="5" t="s">
        <v>16</v>
      </c>
      <c r="F1" s="2" t="s">
        <v>19</v>
      </c>
    </row>
    <row r="2" spans="1:6" x14ac:dyDescent="0.3">
      <c r="A2" s="1">
        <v>44921</v>
      </c>
      <c r="B2">
        <v>1</v>
      </c>
      <c r="C2">
        <v>2023</v>
      </c>
      <c r="D2">
        <v>12</v>
      </c>
      <c r="E2" t="s">
        <v>36</v>
      </c>
      <c r="F2">
        <v>50247</v>
      </c>
    </row>
    <row r="3" spans="1:6" x14ac:dyDescent="0.3">
      <c r="A3" s="1">
        <v>44928</v>
      </c>
      <c r="B3">
        <v>2</v>
      </c>
      <c r="C3">
        <v>2023</v>
      </c>
      <c r="D3">
        <v>1</v>
      </c>
      <c r="E3" t="s">
        <v>37</v>
      </c>
      <c r="F3">
        <v>54534</v>
      </c>
    </row>
    <row r="4" spans="1:6" x14ac:dyDescent="0.3">
      <c r="A4" s="1">
        <v>44935</v>
      </c>
      <c r="B4">
        <v>3</v>
      </c>
      <c r="C4">
        <v>2023</v>
      </c>
      <c r="D4">
        <v>1</v>
      </c>
      <c r="E4" t="s">
        <v>37</v>
      </c>
      <c r="F4">
        <v>53307</v>
      </c>
    </row>
    <row r="5" spans="1:6" x14ac:dyDescent="0.3">
      <c r="A5" s="1">
        <v>44942</v>
      </c>
      <c r="B5">
        <v>4</v>
      </c>
      <c r="C5">
        <v>2023</v>
      </c>
      <c r="D5">
        <v>1</v>
      </c>
      <c r="E5" t="s">
        <v>37</v>
      </c>
      <c r="F5">
        <v>49593</v>
      </c>
    </row>
    <row r="6" spans="1:6" x14ac:dyDescent="0.3">
      <c r="A6" s="1">
        <v>44949</v>
      </c>
      <c r="B6">
        <v>5</v>
      </c>
      <c r="C6">
        <v>2023</v>
      </c>
      <c r="D6">
        <v>1</v>
      </c>
      <c r="E6" t="s">
        <v>37</v>
      </c>
      <c r="F6">
        <v>54354</v>
      </c>
    </row>
    <row r="7" spans="1:6" x14ac:dyDescent="0.3">
      <c r="A7" s="1">
        <v>44956</v>
      </c>
      <c r="B7">
        <v>6</v>
      </c>
      <c r="C7">
        <v>2023</v>
      </c>
      <c r="D7">
        <v>1</v>
      </c>
      <c r="E7" t="s">
        <v>37</v>
      </c>
      <c r="F7">
        <v>50587</v>
      </c>
    </row>
    <row r="8" spans="1:6" x14ac:dyDescent="0.3">
      <c r="A8" s="1">
        <v>44963</v>
      </c>
      <c r="B8">
        <v>7</v>
      </c>
      <c r="C8">
        <v>2023</v>
      </c>
      <c r="D8">
        <v>2</v>
      </c>
      <c r="E8" t="s">
        <v>38</v>
      </c>
      <c r="F8">
        <v>59010</v>
      </c>
    </row>
    <row r="9" spans="1:6" x14ac:dyDescent="0.3">
      <c r="A9" s="1">
        <v>44970</v>
      </c>
      <c r="B9">
        <v>8</v>
      </c>
      <c r="C9">
        <v>2023</v>
      </c>
      <c r="D9">
        <v>2</v>
      </c>
      <c r="E9" t="s">
        <v>38</v>
      </c>
      <c r="F9">
        <v>50475</v>
      </c>
    </row>
    <row r="10" spans="1:6" x14ac:dyDescent="0.3">
      <c r="A10" s="1">
        <v>44977</v>
      </c>
      <c r="B10">
        <v>9</v>
      </c>
      <c r="C10">
        <v>2023</v>
      </c>
      <c r="D10">
        <v>2</v>
      </c>
      <c r="E10" t="s">
        <v>38</v>
      </c>
      <c r="F10">
        <v>56456</v>
      </c>
    </row>
    <row r="11" spans="1:6" x14ac:dyDescent="0.3">
      <c r="A11" s="1">
        <v>44984</v>
      </c>
      <c r="B11">
        <v>10</v>
      </c>
      <c r="C11">
        <v>2023</v>
      </c>
      <c r="D11">
        <v>2</v>
      </c>
      <c r="E11" t="s">
        <v>38</v>
      </c>
      <c r="F11">
        <v>53709</v>
      </c>
    </row>
    <row r="12" spans="1:6" x14ac:dyDescent="0.3">
      <c r="A12" s="1">
        <v>44991</v>
      </c>
      <c r="B12">
        <v>11</v>
      </c>
      <c r="C12">
        <v>2023</v>
      </c>
      <c r="D12">
        <v>3</v>
      </c>
      <c r="E12" t="s">
        <v>39</v>
      </c>
      <c r="F12">
        <v>55954</v>
      </c>
    </row>
    <row r="13" spans="1:6" x14ac:dyDescent="0.3">
      <c r="A13" s="1">
        <v>44998</v>
      </c>
      <c r="B13">
        <v>12</v>
      </c>
      <c r="C13">
        <v>2023</v>
      </c>
      <c r="D13">
        <v>3</v>
      </c>
      <c r="E13" t="s">
        <v>39</v>
      </c>
      <c r="F13">
        <v>53632</v>
      </c>
    </row>
    <row r="14" spans="1:6" x14ac:dyDescent="0.3">
      <c r="A14" s="1">
        <v>45005</v>
      </c>
      <c r="B14">
        <v>13</v>
      </c>
      <c r="C14">
        <v>2023</v>
      </c>
      <c r="D14">
        <v>3</v>
      </c>
      <c r="E14" t="s">
        <v>39</v>
      </c>
      <c r="F14">
        <v>54650</v>
      </c>
    </row>
    <row r="15" spans="1:6" x14ac:dyDescent="0.3">
      <c r="A15" s="1">
        <v>45012</v>
      </c>
      <c r="B15">
        <v>14</v>
      </c>
      <c r="C15">
        <v>2023</v>
      </c>
      <c r="D15">
        <v>3</v>
      </c>
      <c r="E15" t="s">
        <v>39</v>
      </c>
      <c r="F15">
        <v>61543</v>
      </c>
    </row>
    <row r="16" spans="1:6" x14ac:dyDescent="0.3">
      <c r="A16" s="1">
        <v>45019</v>
      </c>
      <c r="B16">
        <v>15</v>
      </c>
      <c r="C16">
        <v>2023</v>
      </c>
      <c r="D16">
        <v>4</v>
      </c>
      <c r="E16" t="s">
        <v>40</v>
      </c>
      <c r="F16">
        <v>65087</v>
      </c>
    </row>
    <row r="17" spans="1:6" x14ac:dyDescent="0.3">
      <c r="A17" s="1">
        <v>45026</v>
      </c>
      <c r="B17">
        <v>16</v>
      </c>
      <c r="C17">
        <v>2023</v>
      </c>
      <c r="D17">
        <v>4</v>
      </c>
      <c r="E17" t="s">
        <v>40</v>
      </c>
      <c r="F17">
        <v>61693</v>
      </c>
    </row>
    <row r="18" spans="1:6" x14ac:dyDescent="0.3">
      <c r="A18" s="1">
        <v>45033</v>
      </c>
      <c r="B18">
        <v>17</v>
      </c>
      <c r="C18">
        <v>2023</v>
      </c>
      <c r="D18">
        <v>4</v>
      </c>
      <c r="E18" t="s">
        <v>40</v>
      </c>
      <c r="F18">
        <v>64791</v>
      </c>
    </row>
    <row r="19" spans="1:6" x14ac:dyDescent="0.3">
      <c r="A19" s="1">
        <v>45040</v>
      </c>
      <c r="B19">
        <v>18</v>
      </c>
      <c r="C19">
        <v>2023</v>
      </c>
      <c r="D19">
        <v>4</v>
      </c>
      <c r="E19" t="s">
        <v>40</v>
      </c>
      <c r="F19">
        <v>63248</v>
      </c>
    </row>
    <row r="20" spans="1:6" x14ac:dyDescent="0.3">
      <c r="A20" s="1">
        <v>45047</v>
      </c>
      <c r="B20">
        <v>19</v>
      </c>
      <c r="C20">
        <v>2023</v>
      </c>
      <c r="D20">
        <v>5</v>
      </c>
      <c r="E20" t="s">
        <v>41</v>
      </c>
      <c r="F20">
        <v>58462</v>
      </c>
    </row>
    <row r="21" spans="1:6" x14ac:dyDescent="0.3">
      <c r="A21" s="1">
        <v>45054</v>
      </c>
      <c r="B21">
        <v>20</v>
      </c>
      <c r="C21">
        <v>2023</v>
      </c>
      <c r="D21">
        <v>5</v>
      </c>
      <c r="E21" t="s">
        <v>41</v>
      </c>
      <c r="F21">
        <v>66315</v>
      </c>
    </row>
    <row r="22" spans="1:6" x14ac:dyDescent="0.3">
      <c r="A22" s="1">
        <v>45061</v>
      </c>
      <c r="B22">
        <v>21</v>
      </c>
      <c r="C22">
        <v>2023</v>
      </c>
      <c r="D22">
        <v>5</v>
      </c>
      <c r="E22" t="s">
        <v>41</v>
      </c>
      <c r="F22">
        <v>70250</v>
      </c>
    </row>
    <row r="23" spans="1:6" x14ac:dyDescent="0.3">
      <c r="A23" s="1">
        <v>45068</v>
      </c>
      <c r="B23">
        <v>22</v>
      </c>
      <c r="C23">
        <v>2023</v>
      </c>
      <c r="D23">
        <v>5</v>
      </c>
      <c r="E23" t="s">
        <v>41</v>
      </c>
      <c r="F23">
        <v>74808</v>
      </c>
    </row>
    <row r="24" spans="1:6" x14ac:dyDescent="0.3">
      <c r="A24" s="1">
        <v>45075</v>
      </c>
      <c r="B24">
        <v>23</v>
      </c>
      <c r="C24">
        <v>2023</v>
      </c>
      <c r="D24">
        <v>5</v>
      </c>
      <c r="E24" t="s">
        <v>41</v>
      </c>
      <c r="F24">
        <v>67634</v>
      </c>
    </row>
    <row r="25" spans="1:6" x14ac:dyDescent="0.3">
      <c r="A25" s="1">
        <v>45082</v>
      </c>
      <c r="B25">
        <v>24</v>
      </c>
      <c r="C25">
        <v>2023</v>
      </c>
      <c r="D25">
        <v>6</v>
      </c>
      <c r="E25" t="s">
        <v>42</v>
      </c>
      <c r="F25">
        <v>72524</v>
      </c>
    </row>
    <row r="26" spans="1:6" x14ac:dyDescent="0.3">
      <c r="A26" s="1">
        <v>45089</v>
      </c>
      <c r="B26">
        <v>25</v>
      </c>
      <c r="C26">
        <v>2023</v>
      </c>
      <c r="D26">
        <v>6</v>
      </c>
      <c r="E26" t="s">
        <v>42</v>
      </c>
      <c r="F26">
        <v>70088</v>
      </c>
    </row>
    <row r="27" spans="1:6" x14ac:dyDescent="0.3">
      <c r="A27" s="1">
        <v>45096</v>
      </c>
      <c r="B27">
        <v>26</v>
      </c>
      <c r="C27">
        <v>2023</v>
      </c>
      <c r="D27">
        <v>6</v>
      </c>
      <c r="E27" t="s">
        <v>42</v>
      </c>
      <c r="F27">
        <v>65860</v>
      </c>
    </row>
    <row r="28" spans="1:6" x14ac:dyDescent="0.3">
      <c r="A28" s="1">
        <v>45103</v>
      </c>
      <c r="B28">
        <v>27</v>
      </c>
      <c r="C28">
        <v>2023</v>
      </c>
      <c r="D28">
        <v>6</v>
      </c>
      <c r="E28" t="s">
        <v>42</v>
      </c>
      <c r="F28">
        <v>65516</v>
      </c>
    </row>
    <row r="29" spans="1:6" x14ac:dyDescent="0.3">
      <c r="A29" s="1">
        <v>45110</v>
      </c>
      <c r="B29">
        <v>28</v>
      </c>
      <c r="C29">
        <v>2023</v>
      </c>
      <c r="D29">
        <v>7</v>
      </c>
      <c r="E29" t="s">
        <v>43</v>
      </c>
      <c r="F29">
        <v>67923</v>
      </c>
    </row>
    <row r="30" spans="1:6" x14ac:dyDescent="0.3">
      <c r="A30" s="1">
        <v>45117</v>
      </c>
      <c r="B30">
        <v>29</v>
      </c>
      <c r="C30">
        <v>2023</v>
      </c>
      <c r="D30">
        <v>7</v>
      </c>
      <c r="E30" t="s">
        <v>43</v>
      </c>
      <c r="F30">
        <v>71524</v>
      </c>
    </row>
    <row r="31" spans="1:6" x14ac:dyDescent="0.3">
      <c r="A31" s="1">
        <v>45124</v>
      </c>
      <c r="B31">
        <v>30</v>
      </c>
      <c r="C31">
        <v>2023</v>
      </c>
      <c r="D31">
        <v>7</v>
      </c>
      <c r="E31" t="s">
        <v>43</v>
      </c>
      <c r="F31">
        <v>68347</v>
      </c>
    </row>
    <row r="32" spans="1:6" x14ac:dyDescent="0.3">
      <c r="A32" s="1">
        <v>45131</v>
      </c>
      <c r="B32">
        <v>31</v>
      </c>
      <c r="C32">
        <v>2023</v>
      </c>
      <c r="D32">
        <v>7</v>
      </c>
      <c r="E32" t="s">
        <v>43</v>
      </c>
      <c r="F32">
        <v>68276</v>
      </c>
    </row>
    <row r="33" spans="1:6" x14ac:dyDescent="0.3">
      <c r="A33" s="1">
        <v>45138</v>
      </c>
      <c r="B33">
        <v>32</v>
      </c>
      <c r="C33">
        <v>2023</v>
      </c>
      <c r="D33">
        <v>7</v>
      </c>
      <c r="E33" t="s">
        <v>43</v>
      </c>
      <c r="F33">
        <v>68667</v>
      </c>
    </row>
    <row r="34" spans="1:6" x14ac:dyDescent="0.3">
      <c r="A34" s="1">
        <v>45145</v>
      </c>
      <c r="B34">
        <v>33</v>
      </c>
      <c r="C34">
        <v>2023</v>
      </c>
      <c r="D34">
        <v>8</v>
      </c>
      <c r="E34" t="s">
        <v>44</v>
      </c>
      <c r="F34">
        <v>80514</v>
      </c>
    </row>
    <row r="35" spans="1:6" x14ac:dyDescent="0.3">
      <c r="A35" s="1">
        <v>45152</v>
      </c>
      <c r="B35">
        <v>34</v>
      </c>
      <c r="C35">
        <v>2023</v>
      </c>
      <c r="D35">
        <v>8</v>
      </c>
      <c r="E35" t="s">
        <v>44</v>
      </c>
      <c r="F35">
        <v>84343</v>
      </c>
    </row>
    <row r="36" spans="1:6" x14ac:dyDescent="0.3">
      <c r="A36" s="1">
        <v>45159</v>
      </c>
      <c r="B36">
        <v>35</v>
      </c>
      <c r="C36">
        <v>2023</v>
      </c>
      <c r="D36">
        <v>8</v>
      </c>
      <c r="E36" t="s">
        <v>44</v>
      </c>
      <c r="F36">
        <v>75990</v>
      </c>
    </row>
    <row r="37" spans="1:6" x14ac:dyDescent="0.3">
      <c r="A37" s="1">
        <v>45166</v>
      </c>
      <c r="B37">
        <v>36</v>
      </c>
      <c r="C37">
        <v>2023</v>
      </c>
      <c r="D37">
        <v>8</v>
      </c>
      <c r="E37" t="s">
        <v>44</v>
      </c>
      <c r="F37">
        <v>77957</v>
      </c>
    </row>
    <row r="38" spans="1:6" x14ac:dyDescent="0.3">
      <c r="A38" s="1">
        <v>45173</v>
      </c>
      <c r="B38">
        <v>37</v>
      </c>
      <c r="C38">
        <v>2023</v>
      </c>
      <c r="D38">
        <v>9</v>
      </c>
      <c r="E38" t="s">
        <v>45</v>
      </c>
      <c r="F38">
        <v>63902</v>
      </c>
    </row>
    <row r="39" spans="1:6" x14ac:dyDescent="0.3">
      <c r="A39" s="1">
        <v>45180</v>
      </c>
      <c r="B39">
        <v>38</v>
      </c>
      <c r="C39">
        <v>2023</v>
      </c>
      <c r="D39">
        <v>9</v>
      </c>
      <c r="E39" t="s">
        <v>45</v>
      </c>
      <c r="F39">
        <v>60716</v>
      </c>
    </row>
    <row r="40" spans="1:6" x14ac:dyDescent="0.3">
      <c r="A40" s="1">
        <v>45187</v>
      </c>
      <c r="B40">
        <v>39</v>
      </c>
      <c r="C40">
        <v>2023</v>
      </c>
      <c r="D40">
        <v>9</v>
      </c>
      <c r="E40" t="s">
        <v>45</v>
      </c>
      <c r="F40">
        <v>62503</v>
      </c>
    </row>
    <row r="41" spans="1:6" x14ac:dyDescent="0.3">
      <c r="A41" s="1">
        <v>45194</v>
      </c>
      <c r="B41">
        <v>40</v>
      </c>
      <c r="C41">
        <v>2023</v>
      </c>
      <c r="D41">
        <v>9</v>
      </c>
      <c r="E41" t="s">
        <v>45</v>
      </c>
      <c r="F41">
        <v>57801</v>
      </c>
    </row>
    <row r="42" spans="1:6" x14ac:dyDescent="0.3">
      <c r="A42" s="1">
        <v>45201</v>
      </c>
      <c r="B42">
        <v>41</v>
      </c>
      <c r="C42">
        <v>2023</v>
      </c>
      <c r="D42">
        <v>10</v>
      </c>
      <c r="E42" t="s">
        <v>46</v>
      </c>
      <c r="F42">
        <v>58586</v>
      </c>
    </row>
    <row r="43" spans="1:6" x14ac:dyDescent="0.3">
      <c r="A43" s="1">
        <v>45208</v>
      </c>
      <c r="B43">
        <v>42</v>
      </c>
      <c r="C43">
        <v>2023</v>
      </c>
      <c r="D43">
        <v>10</v>
      </c>
      <c r="E43" t="s">
        <v>46</v>
      </c>
      <c r="F43">
        <v>57291</v>
      </c>
    </row>
    <row r="44" spans="1:6" x14ac:dyDescent="0.3">
      <c r="A44" s="1">
        <v>45215</v>
      </c>
      <c r="B44">
        <v>43</v>
      </c>
      <c r="C44">
        <v>2023</v>
      </c>
      <c r="D44">
        <v>10</v>
      </c>
      <c r="E44" t="s">
        <v>46</v>
      </c>
      <c r="F44">
        <v>61513</v>
      </c>
    </row>
    <row r="45" spans="1:6" x14ac:dyDescent="0.3">
      <c r="A45" s="1">
        <v>45222</v>
      </c>
      <c r="B45">
        <v>44</v>
      </c>
      <c r="C45">
        <v>2023</v>
      </c>
      <c r="D45">
        <v>10</v>
      </c>
      <c r="E45" t="s">
        <v>46</v>
      </c>
      <c r="F45">
        <v>66047</v>
      </c>
    </row>
    <row r="46" spans="1:6" x14ac:dyDescent="0.3">
      <c r="A46" s="1">
        <v>45229</v>
      </c>
      <c r="B46">
        <v>45</v>
      </c>
      <c r="C46">
        <v>2023</v>
      </c>
      <c r="D46">
        <v>10</v>
      </c>
      <c r="E46" t="s">
        <v>46</v>
      </c>
      <c r="F46">
        <v>56485</v>
      </c>
    </row>
    <row r="47" spans="1:6" x14ac:dyDescent="0.3">
      <c r="A47" s="1">
        <v>45236</v>
      </c>
      <c r="B47">
        <v>46</v>
      </c>
      <c r="C47">
        <v>2023</v>
      </c>
      <c r="D47">
        <v>11</v>
      </c>
      <c r="E47" t="s">
        <v>47</v>
      </c>
      <c r="F47">
        <v>63098</v>
      </c>
    </row>
    <row r="48" spans="1:6" x14ac:dyDescent="0.3">
      <c r="A48" s="1">
        <v>45243</v>
      </c>
      <c r="B48">
        <v>47</v>
      </c>
      <c r="C48">
        <v>2023</v>
      </c>
      <c r="D48">
        <v>11</v>
      </c>
      <c r="E48" t="s">
        <v>47</v>
      </c>
      <c r="F48">
        <v>58896</v>
      </c>
    </row>
    <row r="49" spans="1:6" x14ac:dyDescent="0.3">
      <c r="A49" s="1">
        <v>45250</v>
      </c>
      <c r="B49">
        <v>48</v>
      </c>
      <c r="C49">
        <v>2023</v>
      </c>
      <c r="D49">
        <v>11</v>
      </c>
      <c r="E49" t="s">
        <v>47</v>
      </c>
      <c r="F49">
        <v>61990</v>
      </c>
    </row>
    <row r="50" spans="1:6" x14ac:dyDescent="0.3">
      <c r="A50" s="1">
        <v>45257</v>
      </c>
      <c r="B50">
        <v>49</v>
      </c>
      <c r="C50">
        <v>2023</v>
      </c>
      <c r="D50">
        <v>11</v>
      </c>
      <c r="E50" t="s">
        <v>47</v>
      </c>
      <c r="F50">
        <v>60969</v>
      </c>
    </row>
    <row r="51" spans="1:6" x14ac:dyDescent="0.3">
      <c r="A51" s="1">
        <v>45264</v>
      </c>
      <c r="B51">
        <v>50</v>
      </c>
      <c r="C51">
        <v>2023</v>
      </c>
      <c r="D51">
        <v>12</v>
      </c>
      <c r="E51" t="s">
        <v>36</v>
      </c>
      <c r="F51">
        <v>68896</v>
      </c>
    </row>
    <row r="52" spans="1:6" x14ac:dyDescent="0.3">
      <c r="A52" s="1">
        <v>45271</v>
      </c>
      <c r="B52">
        <v>51</v>
      </c>
      <c r="C52">
        <v>2023</v>
      </c>
      <c r="D52">
        <v>12</v>
      </c>
      <c r="E52" t="s">
        <v>36</v>
      </c>
      <c r="F52">
        <v>81161</v>
      </c>
    </row>
    <row r="53" spans="1:6" x14ac:dyDescent="0.3">
      <c r="A53" s="1">
        <v>45278</v>
      </c>
      <c r="B53">
        <v>52</v>
      </c>
      <c r="C53">
        <v>2023</v>
      </c>
      <c r="D53">
        <v>12</v>
      </c>
      <c r="E53" t="s">
        <v>36</v>
      </c>
      <c r="F53">
        <v>61581</v>
      </c>
    </row>
    <row r="54" spans="1:6" x14ac:dyDescent="0.3">
      <c r="A54" s="1">
        <v>45292</v>
      </c>
      <c r="B54">
        <v>1</v>
      </c>
      <c r="C54">
        <v>2024</v>
      </c>
      <c r="D54">
        <v>1</v>
      </c>
      <c r="E54" t="s">
        <v>37</v>
      </c>
      <c r="F54">
        <v>53269</v>
      </c>
    </row>
    <row r="55" spans="1:6" x14ac:dyDescent="0.3">
      <c r="A55" s="1">
        <v>45299</v>
      </c>
      <c r="B55">
        <v>2</v>
      </c>
      <c r="C55">
        <v>2024</v>
      </c>
      <c r="D55">
        <v>1</v>
      </c>
      <c r="E55" t="s">
        <v>37</v>
      </c>
      <c r="F55">
        <v>53623</v>
      </c>
    </row>
    <row r="56" spans="1:6" x14ac:dyDescent="0.3">
      <c r="A56" s="1">
        <v>45306</v>
      </c>
      <c r="B56">
        <v>3</v>
      </c>
      <c r="C56">
        <v>2024</v>
      </c>
      <c r="D56">
        <v>1</v>
      </c>
      <c r="E56" t="s">
        <v>37</v>
      </c>
      <c r="F56">
        <v>58480</v>
      </c>
    </row>
    <row r="57" spans="1:6" x14ac:dyDescent="0.3">
      <c r="A57" s="1">
        <v>45313</v>
      </c>
      <c r="B57">
        <v>4</v>
      </c>
      <c r="C57">
        <v>2024</v>
      </c>
      <c r="D57">
        <v>1</v>
      </c>
      <c r="E57" t="s">
        <v>37</v>
      </c>
      <c r="F57">
        <v>54477</v>
      </c>
    </row>
    <row r="58" spans="1:6" x14ac:dyDescent="0.3">
      <c r="A58" s="1">
        <v>45320</v>
      </c>
      <c r="B58">
        <v>5</v>
      </c>
      <c r="C58">
        <v>2024</v>
      </c>
      <c r="D58">
        <v>1</v>
      </c>
      <c r="E58" t="s">
        <v>37</v>
      </c>
      <c r="F58">
        <v>56372</v>
      </c>
    </row>
    <row r="59" spans="1:6" x14ac:dyDescent="0.3">
      <c r="A59" s="1">
        <v>45327</v>
      </c>
      <c r="B59">
        <v>6</v>
      </c>
      <c r="C59">
        <v>2024</v>
      </c>
      <c r="D59">
        <v>2</v>
      </c>
      <c r="E59" t="s">
        <v>38</v>
      </c>
      <c r="F59">
        <v>57650</v>
      </c>
    </row>
    <row r="60" spans="1:6" x14ac:dyDescent="0.3">
      <c r="A60" s="1">
        <v>45334</v>
      </c>
      <c r="B60">
        <v>7</v>
      </c>
      <c r="C60">
        <v>2024</v>
      </c>
      <c r="D60">
        <v>2</v>
      </c>
      <c r="E60" t="s">
        <v>38</v>
      </c>
      <c r="F60">
        <v>63258</v>
      </c>
    </row>
    <row r="61" spans="1:6" x14ac:dyDescent="0.3">
      <c r="A61" s="1">
        <v>45341</v>
      </c>
      <c r="B61">
        <v>8</v>
      </c>
      <c r="C61">
        <v>2024</v>
      </c>
      <c r="D61">
        <v>2</v>
      </c>
      <c r="E61" t="s">
        <v>38</v>
      </c>
      <c r="F61">
        <v>52261</v>
      </c>
    </row>
    <row r="62" spans="1:6" x14ac:dyDescent="0.3">
      <c r="A62" s="1">
        <v>45348</v>
      </c>
      <c r="B62">
        <v>9</v>
      </c>
      <c r="C62">
        <v>2024</v>
      </c>
      <c r="D62">
        <v>2</v>
      </c>
      <c r="E62" t="s">
        <v>38</v>
      </c>
      <c r="F62">
        <v>57345</v>
      </c>
    </row>
    <row r="63" spans="1:6" x14ac:dyDescent="0.3">
      <c r="A63" s="1">
        <v>45355</v>
      </c>
      <c r="B63">
        <v>10</v>
      </c>
      <c r="C63">
        <v>2024</v>
      </c>
      <c r="D63">
        <v>3</v>
      </c>
      <c r="E63" t="s">
        <v>39</v>
      </c>
      <c r="F63">
        <v>55362</v>
      </c>
    </row>
    <row r="64" spans="1:6" x14ac:dyDescent="0.3">
      <c r="A64" s="1">
        <v>45362</v>
      </c>
      <c r="B64">
        <v>11</v>
      </c>
      <c r="C64">
        <v>2024</v>
      </c>
      <c r="D64">
        <v>3</v>
      </c>
      <c r="E64" t="s">
        <v>39</v>
      </c>
      <c r="F64">
        <v>56340</v>
      </c>
    </row>
    <row r="65" spans="1:6" x14ac:dyDescent="0.3">
      <c r="A65" s="1">
        <v>45369</v>
      </c>
      <c r="B65">
        <v>12</v>
      </c>
      <c r="C65">
        <v>2024</v>
      </c>
      <c r="D65">
        <v>3</v>
      </c>
      <c r="E65" t="s">
        <v>39</v>
      </c>
      <c r="F65">
        <v>57308</v>
      </c>
    </row>
    <row r="66" spans="1:6" x14ac:dyDescent="0.3">
      <c r="A66" s="1">
        <v>45376</v>
      </c>
      <c r="B66">
        <v>13</v>
      </c>
      <c r="C66">
        <v>2024</v>
      </c>
      <c r="D66">
        <v>3</v>
      </c>
      <c r="E66" t="s">
        <v>39</v>
      </c>
      <c r="F66">
        <v>59149</v>
      </c>
    </row>
    <row r="67" spans="1:6" x14ac:dyDescent="0.3">
      <c r="A67" s="1">
        <v>45383</v>
      </c>
      <c r="B67">
        <v>14</v>
      </c>
      <c r="C67">
        <v>2024</v>
      </c>
      <c r="D67">
        <v>4</v>
      </c>
      <c r="E67" t="s">
        <v>40</v>
      </c>
      <c r="F67">
        <v>57675</v>
      </c>
    </row>
    <row r="68" spans="1:6" x14ac:dyDescent="0.3">
      <c r="A68" s="1">
        <v>45390</v>
      </c>
      <c r="B68">
        <v>15</v>
      </c>
      <c r="C68">
        <v>2024</v>
      </c>
      <c r="D68">
        <v>4</v>
      </c>
      <c r="E68" t="s">
        <v>40</v>
      </c>
      <c r="F68">
        <v>51648</v>
      </c>
    </row>
    <row r="69" spans="1:6" x14ac:dyDescent="0.3">
      <c r="A69" s="1">
        <v>45397</v>
      </c>
      <c r="B69">
        <v>16</v>
      </c>
      <c r="C69">
        <v>2024</v>
      </c>
      <c r="D69">
        <v>4</v>
      </c>
      <c r="E69" t="s">
        <v>40</v>
      </c>
      <c r="F69">
        <v>57439</v>
      </c>
    </row>
    <row r="70" spans="1:6" x14ac:dyDescent="0.3">
      <c r="A70" s="1">
        <v>45404</v>
      </c>
      <c r="B70">
        <v>17</v>
      </c>
      <c r="C70">
        <v>2024</v>
      </c>
      <c r="D70">
        <v>4</v>
      </c>
      <c r="E70" t="s">
        <v>40</v>
      </c>
      <c r="F70">
        <v>55843</v>
      </c>
    </row>
    <row r="71" spans="1:6" x14ac:dyDescent="0.3">
      <c r="A71" s="1">
        <v>45411</v>
      </c>
      <c r="B71">
        <v>18</v>
      </c>
      <c r="C71">
        <v>2024</v>
      </c>
      <c r="D71">
        <v>4</v>
      </c>
      <c r="E71" t="s">
        <v>40</v>
      </c>
      <c r="F71">
        <v>62723</v>
      </c>
    </row>
    <row r="72" spans="1:6" x14ac:dyDescent="0.3">
      <c r="A72" s="1">
        <v>45418</v>
      </c>
      <c r="B72">
        <v>19</v>
      </c>
      <c r="C72">
        <v>2024</v>
      </c>
      <c r="D72">
        <v>5</v>
      </c>
      <c r="E72" t="s">
        <v>41</v>
      </c>
      <c r="F72">
        <v>58166</v>
      </c>
    </row>
    <row r="73" spans="1:6" x14ac:dyDescent="0.3">
      <c r="A73" s="1">
        <v>45425</v>
      </c>
      <c r="B73">
        <v>20</v>
      </c>
      <c r="C73">
        <v>2024</v>
      </c>
      <c r="D73">
        <v>5</v>
      </c>
      <c r="E73" t="s">
        <v>41</v>
      </c>
      <c r="F73">
        <v>61438</v>
      </c>
    </row>
    <row r="74" spans="1:6" x14ac:dyDescent="0.3">
      <c r="A74" s="1">
        <v>45432</v>
      </c>
      <c r="B74">
        <v>21</v>
      </c>
      <c r="C74">
        <v>2024</v>
      </c>
      <c r="D74">
        <v>5</v>
      </c>
      <c r="E74" t="s">
        <v>41</v>
      </c>
      <c r="F74">
        <v>56866</v>
      </c>
    </row>
    <row r="75" spans="1:6" x14ac:dyDescent="0.3">
      <c r="A75" s="1">
        <v>45439</v>
      </c>
      <c r="B75">
        <v>22</v>
      </c>
      <c r="C75">
        <v>2024</v>
      </c>
      <c r="D75">
        <v>5</v>
      </c>
      <c r="E75" t="s">
        <v>41</v>
      </c>
      <c r="F75">
        <v>60968</v>
      </c>
    </row>
    <row r="76" spans="1:6" x14ac:dyDescent="0.3">
      <c r="A76" s="1">
        <v>45446</v>
      </c>
      <c r="B76">
        <v>23</v>
      </c>
      <c r="C76">
        <v>2024</v>
      </c>
      <c r="D76">
        <v>6</v>
      </c>
      <c r="E76" t="s">
        <v>42</v>
      </c>
      <c r="F76">
        <v>56788</v>
      </c>
    </row>
    <row r="77" spans="1:6" x14ac:dyDescent="0.3">
      <c r="A77" s="1">
        <v>45453</v>
      </c>
      <c r="B77">
        <v>24</v>
      </c>
      <c r="C77">
        <v>2024</v>
      </c>
      <c r="D77">
        <v>6</v>
      </c>
      <c r="E77" t="s">
        <v>42</v>
      </c>
      <c r="F77">
        <v>69449</v>
      </c>
    </row>
    <row r="78" spans="1:6" x14ac:dyDescent="0.3">
      <c r="A78" s="1">
        <v>45460</v>
      </c>
      <c r="B78">
        <v>25</v>
      </c>
      <c r="C78">
        <v>2024</v>
      </c>
      <c r="D78">
        <v>6</v>
      </c>
      <c r="E78" t="s">
        <v>42</v>
      </c>
      <c r="F78">
        <v>68994</v>
      </c>
    </row>
    <row r="79" spans="1:6" x14ac:dyDescent="0.3">
      <c r="A79" s="1">
        <v>45467</v>
      </c>
      <c r="B79">
        <v>26</v>
      </c>
      <c r="C79">
        <v>2024</v>
      </c>
      <c r="D79">
        <v>6</v>
      </c>
      <c r="E79" t="s">
        <v>42</v>
      </c>
      <c r="F79">
        <v>65836</v>
      </c>
    </row>
    <row r="80" spans="1:6" x14ac:dyDescent="0.3">
      <c r="A80" s="1">
        <v>45474</v>
      </c>
      <c r="B80">
        <v>27</v>
      </c>
      <c r="C80">
        <v>2024</v>
      </c>
      <c r="D80">
        <v>7</v>
      </c>
      <c r="E80" t="s">
        <v>43</v>
      </c>
      <c r="F80">
        <v>86338</v>
      </c>
    </row>
    <row r="81" spans="1:6" x14ac:dyDescent="0.3">
      <c r="A81" s="1">
        <v>45481</v>
      </c>
      <c r="B81">
        <v>28</v>
      </c>
      <c r="C81">
        <v>2024</v>
      </c>
      <c r="D81">
        <v>7</v>
      </c>
      <c r="E81" t="s">
        <v>43</v>
      </c>
      <c r="F81">
        <v>95847</v>
      </c>
    </row>
    <row r="82" spans="1:6" x14ac:dyDescent="0.3">
      <c r="A82" s="1">
        <v>45488</v>
      </c>
      <c r="B82">
        <v>29</v>
      </c>
      <c r="C82">
        <v>2024</v>
      </c>
      <c r="D82">
        <v>7</v>
      </c>
      <c r="E82" t="s">
        <v>43</v>
      </c>
      <c r="F82">
        <v>86807</v>
      </c>
    </row>
    <row r="83" spans="1:6" x14ac:dyDescent="0.3">
      <c r="A83" s="1">
        <v>45495</v>
      </c>
      <c r="B83">
        <v>30</v>
      </c>
      <c r="C83">
        <v>2024</v>
      </c>
      <c r="D83">
        <v>7</v>
      </c>
      <c r="E83" t="s">
        <v>43</v>
      </c>
      <c r="F83">
        <v>64013</v>
      </c>
    </row>
    <row r="84" spans="1:6" x14ac:dyDescent="0.3">
      <c r="A84" s="1">
        <v>45502</v>
      </c>
      <c r="B84">
        <v>31</v>
      </c>
      <c r="C84">
        <v>2024</v>
      </c>
      <c r="D84">
        <v>7</v>
      </c>
      <c r="E84" t="s">
        <v>43</v>
      </c>
      <c r="F84">
        <v>63023</v>
      </c>
    </row>
    <row r="85" spans="1:6" x14ac:dyDescent="0.3">
      <c r="A85" s="1">
        <v>45509</v>
      </c>
      <c r="B85">
        <v>32</v>
      </c>
      <c r="C85">
        <v>2024</v>
      </c>
      <c r="D85">
        <v>8</v>
      </c>
      <c r="E85" t="s">
        <v>44</v>
      </c>
      <c r="F85">
        <v>58730</v>
      </c>
    </row>
    <row r="86" spans="1:6" x14ac:dyDescent="0.3">
      <c r="A86" s="1">
        <v>45516</v>
      </c>
      <c r="B86">
        <v>33</v>
      </c>
      <c r="C86">
        <v>2024</v>
      </c>
      <c r="D86">
        <v>8</v>
      </c>
      <c r="E86" t="s">
        <v>44</v>
      </c>
      <c r="F86">
        <v>62517</v>
      </c>
    </row>
    <row r="87" spans="1:6" x14ac:dyDescent="0.3">
      <c r="A87" s="1">
        <v>45523</v>
      </c>
      <c r="B87">
        <v>34</v>
      </c>
      <c r="C87">
        <v>2024</v>
      </c>
      <c r="D87">
        <v>8</v>
      </c>
      <c r="E87" t="s">
        <v>44</v>
      </c>
      <c r="F87">
        <v>77405</v>
      </c>
    </row>
    <row r="88" spans="1:6" x14ac:dyDescent="0.3">
      <c r="A88" s="1">
        <v>45530</v>
      </c>
      <c r="B88">
        <v>35</v>
      </c>
      <c r="C88">
        <v>2024</v>
      </c>
      <c r="D88">
        <v>8</v>
      </c>
      <c r="E88" t="s">
        <v>44</v>
      </c>
      <c r="F88">
        <v>61725</v>
      </c>
    </row>
    <row r="89" spans="1:6" x14ac:dyDescent="0.3">
      <c r="A89" s="1">
        <v>45537</v>
      </c>
      <c r="B89">
        <v>36</v>
      </c>
      <c r="C89">
        <v>2024</v>
      </c>
      <c r="D89">
        <v>9</v>
      </c>
      <c r="E89" t="s">
        <v>45</v>
      </c>
      <c r="F89">
        <v>62074</v>
      </c>
    </row>
    <row r="90" spans="1:6" x14ac:dyDescent="0.3">
      <c r="A90" s="1">
        <v>45544</v>
      </c>
      <c r="B90">
        <v>37</v>
      </c>
      <c r="C90">
        <v>2024</v>
      </c>
      <c r="D90">
        <v>9</v>
      </c>
      <c r="E90" t="s">
        <v>45</v>
      </c>
      <c r="F90">
        <v>42639</v>
      </c>
    </row>
    <row r="91" spans="1:6" x14ac:dyDescent="0.3">
      <c r="A91" s="1">
        <v>45551</v>
      </c>
      <c r="B91">
        <v>38</v>
      </c>
      <c r="C91">
        <v>2024</v>
      </c>
      <c r="D91">
        <v>9</v>
      </c>
      <c r="E91" t="s">
        <v>45</v>
      </c>
      <c r="F91">
        <v>52768</v>
      </c>
    </row>
    <row r="92" spans="1:6" x14ac:dyDescent="0.3">
      <c r="A92" s="1">
        <v>45558</v>
      </c>
      <c r="B92">
        <v>39</v>
      </c>
      <c r="C92">
        <v>2024</v>
      </c>
      <c r="D92">
        <v>9</v>
      </c>
      <c r="E92" t="s">
        <v>45</v>
      </c>
      <c r="F92">
        <v>49018</v>
      </c>
    </row>
    <row r="93" spans="1:6" x14ac:dyDescent="0.3">
      <c r="A93" s="1">
        <v>45565</v>
      </c>
      <c r="B93">
        <v>40</v>
      </c>
      <c r="C93">
        <v>2024</v>
      </c>
      <c r="D93">
        <v>9</v>
      </c>
      <c r="E93" t="s">
        <v>45</v>
      </c>
      <c r="F93">
        <v>56048</v>
      </c>
    </row>
    <row r="94" spans="1:6" x14ac:dyDescent="0.3">
      <c r="A94" s="1">
        <v>45572</v>
      </c>
      <c r="B94">
        <v>41</v>
      </c>
      <c r="C94">
        <v>2024</v>
      </c>
      <c r="D94">
        <v>10</v>
      </c>
      <c r="E94" t="s">
        <v>46</v>
      </c>
      <c r="F94">
        <v>48903</v>
      </c>
    </row>
    <row r="95" spans="1:6" x14ac:dyDescent="0.3">
      <c r="A95" s="1">
        <v>45579</v>
      </c>
      <c r="B95">
        <v>42</v>
      </c>
      <c r="C95">
        <v>2024</v>
      </c>
      <c r="D95">
        <v>10</v>
      </c>
      <c r="E95" t="s">
        <v>46</v>
      </c>
      <c r="F95">
        <v>54834</v>
      </c>
    </row>
    <row r="96" spans="1:6" x14ac:dyDescent="0.3">
      <c r="A96" s="1">
        <v>45586</v>
      </c>
      <c r="B96">
        <v>43</v>
      </c>
      <c r="C96">
        <v>2024</v>
      </c>
      <c r="D96">
        <v>10</v>
      </c>
      <c r="E96" t="s">
        <v>46</v>
      </c>
      <c r="F96">
        <v>53196</v>
      </c>
    </row>
    <row r="97" spans="1:6" x14ac:dyDescent="0.3">
      <c r="A97" s="1">
        <v>45593</v>
      </c>
      <c r="B97">
        <v>44</v>
      </c>
      <c r="C97">
        <v>2024</v>
      </c>
      <c r="D97">
        <v>10</v>
      </c>
      <c r="E97" t="s">
        <v>46</v>
      </c>
      <c r="F97">
        <v>62243</v>
      </c>
    </row>
    <row r="98" spans="1:6" x14ac:dyDescent="0.3">
      <c r="A98" s="1">
        <v>45600</v>
      </c>
      <c r="B98">
        <v>45</v>
      </c>
      <c r="C98">
        <v>2024</v>
      </c>
      <c r="D98">
        <v>11</v>
      </c>
      <c r="E98" t="s">
        <v>47</v>
      </c>
      <c r="F98">
        <v>55039</v>
      </c>
    </row>
    <row r="99" spans="1:6" x14ac:dyDescent="0.3">
      <c r="A99" s="1">
        <v>45607</v>
      </c>
      <c r="B99">
        <v>46</v>
      </c>
      <c r="C99">
        <v>2024</v>
      </c>
      <c r="D99">
        <v>11</v>
      </c>
      <c r="E99" t="s">
        <v>47</v>
      </c>
      <c r="F99">
        <v>60246</v>
      </c>
    </row>
    <row r="100" spans="1:6" x14ac:dyDescent="0.3">
      <c r="A100" s="1">
        <v>45614</v>
      </c>
      <c r="B100">
        <v>47</v>
      </c>
      <c r="C100">
        <v>2024</v>
      </c>
      <c r="D100">
        <v>11</v>
      </c>
      <c r="E100" t="s">
        <v>47</v>
      </c>
      <c r="F100">
        <v>61290</v>
      </c>
    </row>
    <row r="101" spans="1:6" x14ac:dyDescent="0.3">
      <c r="A101" s="1">
        <v>45621</v>
      </c>
      <c r="B101">
        <v>48</v>
      </c>
      <c r="C101">
        <v>2024</v>
      </c>
      <c r="D101">
        <v>11</v>
      </c>
      <c r="E101" t="s">
        <v>47</v>
      </c>
      <c r="F101">
        <v>58669</v>
      </c>
    </row>
    <row r="102" spans="1:6" x14ac:dyDescent="0.3">
      <c r="A102" s="1">
        <v>45628</v>
      </c>
      <c r="B102">
        <v>49</v>
      </c>
      <c r="C102">
        <v>2024</v>
      </c>
      <c r="D102">
        <v>12</v>
      </c>
      <c r="E102" t="s">
        <v>36</v>
      </c>
      <c r="F102">
        <v>58880</v>
      </c>
    </row>
    <row r="103" spans="1:6" x14ac:dyDescent="0.3">
      <c r="A103" s="1">
        <v>45635</v>
      </c>
      <c r="B103">
        <v>50</v>
      </c>
      <c r="C103">
        <v>2024</v>
      </c>
      <c r="D103">
        <v>12</v>
      </c>
      <c r="E103" t="s">
        <v>36</v>
      </c>
      <c r="F103">
        <v>64611</v>
      </c>
    </row>
    <row r="104" spans="1:6" x14ac:dyDescent="0.3">
      <c r="A104" s="1">
        <v>45642</v>
      </c>
      <c r="B104">
        <v>51</v>
      </c>
      <c r="C104">
        <v>2024</v>
      </c>
      <c r="D104">
        <v>12</v>
      </c>
      <c r="E104" t="s">
        <v>36</v>
      </c>
      <c r="F104">
        <v>72902</v>
      </c>
    </row>
    <row r="105" spans="1:6" x14ac:dyDescent="0.3">
      <c r="A105" s="1">
        <v>45649</v>
      </c>
      <c r="B105">
        <v>52</v>
      </c>
      <c r="C105">
        <v>2024</v>
      </c>
      <c r="D105">
        <v>12</v>
      </c>
      <c r="E105" t="s">
        <v>36</v>
      </c>
      <c r="F105">
        <v>66398</v>
      </c>
    </row>
    <row r="106" spans="1:6" x14ac:dyDescent="0.3">
      <c r="A106" s="1">
        <v>45656</v>
      </c>
      <c r="B106">
        <v>1</v>
      </c>
      <c r="C106">
        <v>2025</v>
      </c>
      <c r="D106">
        <v>12</v>
      </c>
      <c r="E106" t="s">
        <v>36</v>
      </c>
      <c r="F106">
        <v>55379</v>
      </c>
    </row>
    <row r="107" spans="1:6" x14ac:dyDescent="0.3">
      <c r="A107" s="1">
        <v>45663</v>
      </c>
      <c r="B107">
        <v>2</v>
      </c>
      <c r="C107">
        <v>2025</v>
      </c>
      <c r="D107">
        <v>1</v>
      </c>
      <c r="E107" t="s">
        <v>37</v>
      </c>
      <c r="F107">
        <v>47649</v>
      </c>
    </row>
    <row r="108" spans="1:6" x14ac:dyDescent="0.3">
      <c r="A108" s="1">
        <v>45670</v>
      </c>
      <c r="B108">
        <v>3</v>
      </c>
      <c r="C108">
        <v>2025</v>
      </c>
      <c r="D108">
        <v>1</v>
      </c>
      <c r="E108" t="s">
        <v>37</v>
      </c>
      <c r="F108">
        <v>50457</v>
      </c>
    </row>
    <row r="109" spans="1:6" x14ac:dyDescent="0.3">
      <c r="A109" s="1">
        <v>45677</v>
      </c>
      <c r="B109">
        <v>4</v>
      </c>
      <c r="C109">
        <v>2025</v>
      </c>
      <c r="D109">
        <v>1</v>
      </c>
      <c r="E109" t="s">
        <v>37</v>
      </c>
      <c r="F109">
        <v>48530</v>
      </c>
    </row>
    <row r="110" spans="1:6" x14ac:dyDescent="0.3">
      <c r="A110" s="1">
        <v>45684</v>
      </c>
      <c r="B110">
        <v>5</v>
      </c>
      <c r="C110">
        <v>2025</v>
      </c>
      <c r="D110">
        <v>1</v>
      </c>
      <c r="E110" t="s">
        <v>37</v>
      </c>
      <c r="F110">
        <v>48431</v>
      </c>
    </row>
    <row r="111" spans="1:6" x14ac:dyDescent="0.3">
      <c r="A111" s="1">
        <v>45691</v>
      </c>
      <c r="B111">
        <v>6</v>
      </c>
      <c r="C111">
        <v>2025</v>
      </c>
      <c r="D111">
        <v>2</v>
      </c>
      <c r="E111" t="s">
        <v>38</v>
      </c>
      <c r="F111">
        <v>52970</v>
      </c>
    </row>
    <row r="112" spans="1:6" x14ac:dyDescent="0.3">
      <c r="A112" s="1">
        <v>45698</v>
      </c>
      <c r="B112">
        <v>7</v>
      </c>
      <c r="C112">
        <v>2025</v>
      </c>
      <c r="D112">
        <v>2</v>
      </c>
      <c r="E112" t="s">
        <v>38</v>
      </c>
      <c r="F112">
        <v>56488</v>
      </c>
    </row>
    <row r="113" spans="1:6" x14ac:dyDescent="0.3">
      <c r="A113" s="1">
        <v>45705</v>
      </c>
      <c r="B113">
        <v>8</v>
      </c>
      <c r="C113">
        <v>2025</v>
      </c>
      <c r="D113">
        <v>2</v>
      </c>
      <c r="E113" t="s">
        <v>38</v>
      </c>
      <c r="F113">
        <v>48399</v>
      </c>
    </row>
    <row r="114" spans="1:6" x14ac:dyDescent="0.3">
      <c r="A114" s="1">
        <v>45712</v>
      </c>
      <c r="B114">
        <v>9</v>
      </c>
      <c r="C114">
        <v>2025</v>
      </c>
      <c r="D114">
        <v>2</v>
      </c>
      <c r="E114" t="s">
        <v>38</v>
      </c>
      <c r="F114">
        <v>49914</v>
      </c>
    </row>
    <row r="115" spans="1:6" x14ac:dyDescent="0.3">
      <c r="A115" s="1">
        <v>45719</v>
      </c>
      <c r="B115">
        <v>10</v>
      </c>
      <c r="C115">
        <v>2025</v>
      </c>
      <c r="D115">
        <v>3</v>
      </c>
      <c r="E115" t="s">
        <v>39</v>
      </c>
      <c r="F115">
        <v>49380</v>
      </c>
    </row>
    <row r="116" spans="1:6" x14ac:dyDescent="0.3">
      <c r="A116" s="1">
        <v>45726</v>
      </c>
      <c r="B116">
        <v>11</v>
      </c>
      <c r="C116">
        <v>2025</v>
      </c>
      <c r="D116">
        <v>3</v>
      </c>
      <c r="E116" t="s">
        <v>39</v>
      </c>
      <c r="F116">
        <v>48705</v>
      </c>
    </row>
    <row r="117" spans="1:6" x14ac:dyDescent="0.3">
      <c r="A117" s="1">
        <v>45733</v>
      </c>
      <c r="B117">
        <v>12</v>
      </c>
      <c r="C117">
        <v>2025</v>
      </c>
      <c r="D117">
        <v>3</v>
      </c>
      <c r="E117" t="s">
        <v>39</v>
      </c>
      <c r="F117">
        <v>51854</v>
      </c>
    </row>
    <row r="118" spans="1:6" x14ac:dyDescent="0.3">
      <c r="A118" s="1">
        <v>45740</v>
      </c>
      <c r="B118">
        <v>13</v>
      </c>
      <c r="C118">
        <v>2025</v>
      </c>
      <c r="D118">
        <v>3</v>
      </c>
      <c r="E118" t="s">
        <v>39</v>
      </c>
      <c r="F118">
        <v>48664</v>
      </c>
    </row>
    <row r="119" spans="1:6" x14ac:dyDescent="0.3">
      <c r="A119" s="1">
        <v>45747</v>
      </c>
      <c r="B119">
        <v>14</v>
      </c>
      <c r="C119">
        <v>2025</v>
      </c>
      <c r="D119">
        <v>3</v>
      </c>
      <c r="E119" t="s">
        <v>39</v>
      </c>
      <c r="F119">
        <v>55841</v>
      </c>
    </row>
    <row r="120" spans="1:6" x14ac:dyDescent="0.3">
      <c r="A120" s="1">
        <v>45754</v>
      </c>
      <c r="B120">
        <v>15</v>
      </c>
      <c r="C120">
        <v>2025</v>
      </c>
      <c r="D120">
        <v>4</v>
      </c>
      <c r="E120" t="s">
        <v>40</v>
      </c>
      <c r="F120">
        <v>49330</v>
      </c>
    </row>
    <row r="121" spans="1:6" x14ac:dyDescent="0.3">
      <c r="A121" s="1">
        <v>45761</v>
      </c>
      <c r="B121">
        <v>16</v>
      </c>
      <c r="C121">
        <v>2025</v>
      </c>
      <c r="D121">
        <v>4</v>
      </c>
      <c r="E121" t="s">
        <v>40</v>
      </c>
      <c r="F121">
        <v>52648</v>
      </c>
    </row>
    <row r="122" spans="1:6" x14ac:dyDescent="0.3">
      <c r="A122" s="1">
        <v>45768</v>
      </c>
      <c r="B122">
        <v>17</v>
      </c>
      <c r="C122">
        <v>2025</v>
      </c>
      <c r="D122">
        <v>4</v>
      </c>
      <c r="E122" t="s">
        <v>40</v>
      </c>
      <c r="F122">
        <v>53011</v>
      </c>
    </row>
    <row r="123" spans="1:6" x14ac:dyDescent="0.3">
      <c r="A123" s="1">
        <v>45775</v>
      </c>
      <c r="B123">
        <v>18</v>
      </c>
      <c r="C123">
        <v>2025</v>
      </c>
      <c r="D123">
        <v>4</v>
      </c>
      <c r="E123" t="s">
        <v>40</v>
      </c>
      <c r="F123">
        <v>62722</v>
      </c>
    </row>
    <row r="124" spans="1:6" x14ac:dyDescent="0.3">
      <c r="A124" s="1">
        <v>45782</v>
      </c>
      <c r="B124">
        <v>19</v>
      </c>
      <c r="C124">
        <v>2025</v>
      </c>
      <c r="D124">
        <v>5</v>
      </c>
      <c r="E124" t="s">
        <v>41</v>
      </c>
      <c r="F124">
        <v>54377</v>
      </c>
    </row>
    <row r="125" spans="1:6" x14ac:dyDescent="0.3">
      <c r="A125" s="1">
        <v>45789</v>
      </c>
      <c r="B125">
        <v>20</v>
      </c>
      <c r="C125">
        <v>2025</v>
      </c>
      <c r="D125">
        <v>5</v>
      </c>
      <c r="E125" t="s">
        <v>41</v>
      </c>
      <c r="F125">
        <v>54772</v>
      </c>
    </row>
    <row r="126" spans="1:6" x14ac:dyDescent="0.3">
      <c r="A126" s="1">
        <v>45796</v>
      </c>
      <c r="B126">
        <v>21</v>
      </c>
      <c r="C126">
        <v>2025</v>
      </c>
      <c r="D126">
        <v>5</v>
      </c>
      <c r="E126" t="s">
        <v>41</v>
      </c>
      <c r="F126">
        <v>59545</v>
      </c>
    </row>
    <row r="127" spans="1:6" x14ac:dyDescent="0.3">
      <c r="A127" s="1">
        <v>45803</v>
      </c>
      <c r="B127">
        <v>22</v>
      </c>
      <c r="C127">
        <v>2025</v>
      </c>
      <c r="D127">
        <v>5</v>
      </c>
      <c r="E127" t="s">
        <v>41</v>
      </c>
      <c r="F127">
        <v>60519</v>
      </c>
    </row>
    <row r="128" spans="1:6" x14ac:dyDescent="0.3">
      <c r="A128" s="1">
        <v>45810</v>
      </c>
      <c r="B128">
        <v>23</v>
      </c>
      <c r="C128">
        <v>2025</v>
      </c>
      <c r="D128">
        <v>6</v>
      </c>
      <c r="E128" t="s">
        <v>42</v>
      </c>
      <c r="F128">
        <v>53424</v>
      </c>
    </row>
    <row r="129" spans="1:6" x14ac:dyDescent="0.3">
      <c r="A129" s="1">
        <v>45817</v>
      </c>
      <c r="B129">
        <v>24</v>
      </c>
      <c r="C129">
        <v>2025</v>
      </c>
      <c r="D129">
        <v>6</v>
      </c>
      <c r="E129" t="s">
        <v>42</v>
      </c>
      <c r="F129">
        <v>53275</v>
      </c>
    </row>
    <row r="130" spans="1:6" x14ac:dyDescent="0.3">
      <c r="A130" s="1">
        <v>45824</v>
      </c>
      <c r="B130">
        <v>25</v>
      </c>
      <c r="C130">
        <v>2025</v>
      </c>
      <c r="D130">
        <v>6</v>
      </c>
      <c r="E130" t="s">
        <v>42</v>
      </c>
      <c r="F130">
        <v>51319</v>
      </c>
    </row>
    <row r="131" spans="1:6" x14ac:dyDescent="0.3">
      <c r="A131" s="1">
        <v>45831</v>
      </c>
      <c r="B131">
        <v>26</v>
      </c>
      <c r="C131">
        <v>2025</v>
      </c>
      <c r="D131">
        <v>6</v>
      </c>
      <c r="E131" t="s">
        <v>42</v>
      </c>
      <c r="F131">
        <v>51693</v>
      </c>
    </row>
    <row r="132" spans="1:6" x14ac:dyDescent="0.3">
      <c r="A132" s="1">
        <v>45838</v>
      </c>
      <c r="B132">
        <v>27</v>
      </c>
      <c r="C132">
        <v>2025</v>
      </c>
      <c r="D132">
        <v>6</v>
      </c>
      <c r="E132" t="s">
        <v>42</v>
      </c>
      <c r="F132">
        <v>55673</v>
      </c>
    </row>
    <row r="133" spans="1:6" x14ac:dyDescent="0.3">
      <c r="A133" s="1">
        <v>45845</v>
      </c>
      <c r="B133">
        <v>28</v>
      </c>
      <c r="C133">
        <v>2025</v>
      </c>
      <c r="D133">
        <v>7</v>
      </c>
      <c r="E133" t="s">
        <v>43</v>
      </c>
      <c r="F133">
        <v>48897</v>
      </c>
    </row>
    <row r="134" spans="1:6" x14ac:dyDescent="0.3">
      <c r="A134" s="1">
        <v>45852</v>
      </c>
      <c r="B134">
        <v>29</v>
      </c>
      <c r="C134">
        <v>2025</v>
      </c>
      <c r="D134">
        <v>7</v>
      </c>
      <c r="E134" t="s">
        <v>43</v>
      </c>
      <c r="F134">
        <v>56161</v>
      </c>
    </row>
    <row r="135" spans="1:6" x14ac:dyDescent="0.3">
      <c r="A135" s="1">
        <v>45859</v>
      </c>
      <c r="B135">
        <v>30</v>
      </c>
      <c r="C135">
        <v>2025</v>
      </c>
      <c r="D135">
        <v>7</v>
      </c>
      <c r="E135" t="s">
        <v>43</v>
      </c>
      <c r="F135">
        <v>49443</v>
      </c>
    </row>
    <row r="136" spans="1:6" x14ac:dyDescent="0.3">
      <c r="A136" s="1">
        <v>45866</v>
      </c>
      <c r="B136">
        <v>31</v>
      </c>
      <c r="C136">
        <v>2025</v>
      </c>
      <c r="D136">
        <v>7</v>
      </c>
      <c r="E136" t="s">
        <v>43</v>
      </c>
      <c r="F136">
        <v>52307</v>
      </c>
    </row>
    <row r="137" spans="1:6" x14ac:dyDescent="0.3">
      <c r="A137" s="1">
        <v>45873</v>
      </c>
      <c r="B137">
        <v>32</v>
      </c>
      <c r="C137">
        <v>2025</v>
      </c>
      <c r="D137">
        <v>8</v>
      </c>
      <c r="E137" t="s">
        <v>44</v>
      </c>
      <c r="F137">
        <v>53781</v>
      </c>
    </row>
    <row r="138" spans="1:6" x14ac:dyDescent="0.3">
      <c r="A138" s="1">
        <v>45880</v>
      </c>
      <c r="B138">
        <v>33</v>
      </c>
      <c r="C138">
        <v>2025</v>
      </c>
      <c r="D138">
        <v>8</v>
      </c>
      <c r="E138" t="s">
        <v>44</v>
      </c>
      <c r="F138">
        <v>56189</v>
      </c>
    </row>
    <row r="139" spans="1:6" x14ac:dyDescent="0.3">
      <c r="A139" s="1">
        <v>45887</v>
      </c>
      <c r="B139">
        <v>34</v>
      </c>
      <c r="C139">
        <v>2025</v>
      </c>
      <c r="D139">
        <v>8</v>
      </c>
      <c r="E139" t="s">
        <v>44</v>
      </c>
      <c r="F139">
        <v>57607</v>
      </c>
    </row>
    <row r="140" spans="1:6" x14ac:dyDescent="0.3">
      <c r="A140" s="1">
        <v>45894</v>
      </c>
      <c r="B140">
        <v>35</v>
      </c>
      <c r="C140">
        <v>2025</v>
      </c>
      <c r="D140">
        <v>8</v>
      </c>
      <c r="E140" t="s">
        <v>44</v>
      </c>
      <c r="F140">
        <v>65518</v>
      </c>
    </row>
    <row r="141" spans="1:6" x14ac:dyDescent="0.3">
      <c r="A141" s="1">
        <v>45901</v>
      </c>
      <c r="B141">
        <v>36</v>
      </c>
      <c r="C141">
        <v>2025</v>
      </c>
      <c r="D141">
        <v>9</v>
      </c>
      <c r="E141" t="s">
        <v>45</v>
      </c>
      <c r="F141">
        <v>57285</v>
      </c>
    </row>
    <row r="142" spans="1:6" x14ac:dyDescent="0.3">
      <c r="A142" s="1">
        <v>45908</v>
      </c>
      <c r="B142">
        <v>37</v>
      </c>
      <c r="C142">
        <v>2025</v>
      </c>
      <c r="D142">
        <v>9</v>
      </c>
      <c r="E142" t="s">
        <v>45</v>
      </c>
      <c r="F142">
        <v>54928</v>
      </c>
    </row>
    <row r="143" spans="1:6" x14ac:dyDescent="0.3">
      <c r="A143" s="1">
        <v>45915</v>
      </c>
      <c r="B143">
        <v>38</v>
      </c>
      <c r="C143">
        <v>2025</v>
      </c>
      <c r="D143">
        <v>9</v>
      </c>
      <c r="E143" t="s">
        <v>45</v>
      </c>
      <c r="F143">
        <v>55677</v>
      </c>
    </row>
    <row r="144" spans="1:6" x14ac:dyDescent="0.3">
      <c r="A144" s="1">
        <v>45922</v>
      </c>
      <c r="B144">
        <v>39</v>
      </c>
      <c r="C144">
        <v>2025</v>
      </c>
      <c r="D144">
        <v>9</v>
      </c>
      <c r="E144" t="s">
        <v>45</v>
      </c>
      <c r="F144">
        <v>46590</v>
      </c>
    </row>
    <row r="145" spans="1:6" x14ac:dyDescent="0.3">
      <c r="A145" s="1">
        <v>45929</v>
      </c>
      <c r="B145">
        <v>40</v>
      </c>
      <c r="C145">
        <v>2025</v>
      </c>
      <c r="D145">
        <v>9</v>
      </c>
      <c r="E145" t="s">
        <v>45</v>
      </c>
      <c r="F145">
        <v>52547</v>
      </c>
    </row>
    <row r="146" spans="1:6" x14ac:dyDescent="0.3">
      <c r="A146" s="1">
        <v>45936</v>
      </c>
      <c r="B146">
        <v>41</v>
      </c>
      <c r="C146">
        <v>2025</v>
      </c>
      <c r="D146">
        <v>10</v>
      </c>
      <c r="E146" t="s">
        <v>46</v>
      </c>
      <c r="F146">
        <v>46681</v>
      </c>
    </row>
    <row r="147" spans="1:6" x14ac:dyDescent="0.3">
      <c r="A147" s="1">
        <v>45943</v>
      </c>
      <c r="B147">
        <v>42</v>
      </c>
      <c r="C147">
        <v>2025</v>
      </c>
      <c r="D147">
        <v>10</v>
      </c>
      <c r="E147" t="s">
        <v>46</v>
      </c>
      <c r="F147">
        <v>52661</v>
      </c>
    </row>
    <row r="148" spans="1:6" x14ac:dyDescent="0.3">
      <c r="A148" s="1">
        <v>45950</v>
      </c>
      <c r="B148">
        <v>43</v>
      </c>
      <c r="C148">
        <v>2025</v>
      </c>
      <c r="D148">
        <v>10</v>
      </c>
      <c r="E148" t="s">
        <v>46</v>
      </c>
      <c r="F148">
        <v>51419</v>
      </c>
    </row>
    <row r="149" spans="1:6" x14ac:dyDescent="0.3">
      <c r="A149" s="1">
        <v>45957</v>
      </c>
      <c r="B149">
        <v>44</v>
      </c>
      <c r="C149">
        <v>2025</v>
      </c>
      <c r="D149">
        <v>10</v>
      </c>
      <c r="E149" t="s">
        <v>46</v>
      </c>
      <c r="F149">
        <v>58045</v>
      </c>
    </row>
    <row r="150" spans="1:6" x14ac:dyDescent="0.3">
      <c r="A150" s="1">
        <v>45964</v>
      </c>
      <c r="B150">
        <v>45</v>
      </c>
      <c r="C150">
        <v>2025</v>
      </c>
      <c r="D150">
        <v>11</v>
      </c>
      <c r="E150" t="s">
        <v>47</v>
      </c>
      <c r="F150">
        <v>50807</v>
      </c>
    </row>
    <row r="151" spans="1:6" x14ac:dyDescent="0.3">
      <c r="A151" s="1">
        <v>45971</v>
      </c>
      <c r="B151">
        <v>46</v>
      </c>
      <c r="C151">
        <v>2025</v>
      </c>
      <c r="D151">
        <v>11</v>
      </c>
      <c r="E151" t="s">
        <v>47</v>
      </c>
      <c r="F151">
        <v>52283</v>
      </c>
    </row>
    <row r="152" spans="1:6" x14ac:dyDescent="0.3">
      <c r="A152" s="1">
        <v>45978</v>
      </c>
      <c r="B152">
        <v>47</v>
      </c>
      <c r="C152">
        <v>2025</v>
      </c>
      <c r="D152">
        <v>11</v>
      </c>
      <c r="E152" t="s">
        <v>47</v>
      </c>
      <c r="F152">
        <v>54931</v>
      </c>
    </row>
    <row r="153" spans="1:6" x14ac:dyDescent="0.3">
      <c r="A153" s="1">
        <v>45985</v>
      </c>
      <c r="B153">
        <v>48</v>
      </c>
      <c r="C153">
        <v>2025</v>
      </c>
      <c r="D153">
        <v>11</v>
      </c>
      <c r="E153" t="s">
        <v>47</v>
      </c>
      <c r="F153">
        <v>54536</v>
      </c>
    </row>
    <row r="154" spans="1:6" x14ac:dyDescent="0.3">
      <c r="A154" s="1">
        <v>45992</v>
      </c>
      <c r="B154">
        <v>49</v>
      </c>
      <c r="C154">
        <v>2025</v>
      </c>
      <c r="D154">
        <v>12</v>
      </c>
      <c r="E154" t="s">
        <v>36</v>
      </c>
      <c r="F154">
        <v>58927</v>
      </c>
    </row>
    <row r="155" spans="1:6" x14ac:dyDescent="0.3">
      <c r="A155" s="1">
        <v>45999</v>
      </c>
      <c r="B155">
        <v>50</v>
      </c>
      <c r="C155">
        <v>2025</v>
      </c>
      <c r="D155">
        <v>12</v>
      </c>
      <c r="E155" t="s">
        <v>36</v>
      </c>
      <c r="F155">
        <v>58688</v>
      </c>
    </row>
    <row r="156" spans="1:6" x14ac:dyDescent="0.3">
      <c r="A156" s="1">
        <v>46006</v>
      </c>
      <c r="B156">
        <v>51</v>
      </c>
      <c r="C156">
        <v>2025</v>
      </c>
      <c r="D156">
        <v>12</v>
      </c>
      <c r="E156" t="s">
        <v>36</v>
      </c>
      <c r="F156">
        <v>68726</v>
      </c>
    </row>
    <row r="157" spans="1:6" x14ac:dyDescent="0.3">
      <c r="A157" s="1">
        <v>46013</v>
      </c>
      <c r="B157">
        <v>52</v>
      </c>
      <c r="C157">
        <v>2025</v>
      </c>
      <c r="D157">
        <v>12</v>
      </c>
      <c r="E157" t="s">
        <v>36</v>
      </c>
      <c r="F157">
        <v>64886</v>
      </c>
    </row>
  </sheetData>
  <printOptions horizontalCentered="1"/>
  <pageMargins left="0.31496062992125984" right="0.31496062992125984" top="0.35433070866141736" bottom="0.35433070866141736" header="0.31496062992125984" footer="0.31496062992125984"/>
  <pageSetup scale="6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C6486-8FB0-43FD-B71E-45AADA72784D}">
  <sheetPr>
    <tabColor rgb="FF00B050"/>
    <pageSetUpPr fitToPage="1"/>
  </sheetPr>
  <dimension ref="A1:G37"/>
  <sheetViews>
    <sheetView showGridLines="0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E1" sqref="E1:G1"/>
    </sheetView>
  </sheetViews>
  <sheetFormatPr baseColWidth="10" defaultRowHeight="14.4" x14ac:dyDescent="0.3"/>
  <cols>
    <col min="2" max="2" width="6.21875" customWidth="1"/>
    <col min="3" max="3" width="14.6640625" bestFit="1" customWidth="1"/>
    <col min="4" max="4" width="11.88671875" bestFit="1" customWidth="1"/>
    <col min="5" max="5" width="18" bestFit="1" customWidth="1"/>
    <col min="6" max="6" width="16.6640625" bestFit="1" customWidth="1"/>
    <col min="7" max="7" width="25.5546875" bestFit="1" customWidth="1"/>
  </cols>
  <sheetData>
    <row r="1" spans="1:7" x14ac:dyDescent="0.3">
      <c r="A1" s="2" t="s">
        <v>13</v>
      </c>
      <c r="B1" s="3" t="s">
        <v>14</v>
      </c>
      <c r="C1" s="5" t="s">
        <v>15</v>
      </c>
      <c r="D1" s="5" t="s">
        <v>16</v>
      </c>
      <c r="E1" s="6" t="s">
        <v>17</v>
      </c>
      <c r="F1" s="5" t="s">
        <v>20</v>
      </c>
      <c r="G1" s="4" t="s">
        <v>12</v>
      </c>
    </row>
    <row r="2" spans="1:7" x14ac:dyDescent="0.3">
      <c r="A2" s="1">
        <v>44927</v>
      </c>
      <c r="B2">
        <v>2023</v>
      </c>
      <c r="C2">
        <f>MONTH(A2)</f>
        <v>1</v>
      </c>
      <c r="D2" t="s">
        <v>0</v>
      </c>
      <c r="E2" s="7">
        <v>11843</v>
      </c>
      <c r="F2" s="7">
        <v>31189.07</v>
      </c>
      <c r="G2" s="7">
        <f>F2/E2</f>
        <v>2.6335447099552476</v>
      </c>
    </row>
    <row r="3" spans="1:7" x14ac:dyDescent="0.3">
      <c r="A3" s="1">
        <v>44958</v>
      </c>
      <c r="B3">
        <v>2023</v>
      </c>
      <c r="C3">
        <f t="shared" ref="C3:C13" si="0">MONTH(A3)</f>
        <v>2</v>
      </c>
      <c r="D3" t="s">
        <v>2</v>
      </c>
      <c r="E3" s="7">
        <v>9635</v>
      </c>
      <c r="F3" s="7">
        <v>25558.73</v>
      </c>
      <c r="G3" s="7">
        <f t="shared" ref="G3:G37" si="1">F3/E3</f>
        <v>2.6526964193046187</v>
      </c>
    </row>
    <row r="4" spans="1:7" x14ac:dyDescent="0.3">
      <c r="A4" s="1">
        <v>44986</v>
      </c>
      <c r="B4">
        <v>2023</v>
      </c>
      <c r="C4">
        <f t="shared" si="0"/>
        <v>3</v>
      </c>
      <c r="D4" t="s">
        <v>3</v>
      </c>
      <c r="E4" s="7">
        <v>3678</v>
      </c>
      <c r="F4" s="7">
        <v>11385.55</v>
      </c>
      <c r="G4" s="7">
        <f t="shared" si="1"/>
        <v>3.0955818379554105</v>
      </c>
    </row>
    <row r="5" spans="1:7" x14ac:dyDescent="0.3">
      <c r="A5" s="1">
        <v>45017</v>
      </c>
      <c r="B5">
        <v>2023</v>
      </c>
      <c r="C5">
        <f t="shared" si="0"/>
        <v>4</v>
      </c>
      <c r="D5" t="s">
        <v>4</v>
      </c>
      <c r="E5" s="7">
        <v>1223</v>
      </c>
      <c r="F5" s="7">
        <v>4055.88</v>
      </c>
      <c r="G5" s="7">
        <f t="shared" si="1"/>
        <v>3.3163368765331156</v>
      </c>
    </row>
    <row r="6" spans="1:7" x14ac:dyDescent="0.3">
      <c r="A6" s="1">
        <v>45047</v>
      </c>
      <c r="B6">
        <v>2023</v>
      </c>
      <c r="C6">
        <f t="shared" si="0"/>
        <v>5</v>
      </c>
      <c r="D6" t="s">
        <v>5</v>
      </c>
      <c r="E6" s="7">
        <v>0</v>
      </c>
      <c r="F6" s="7">
        <v>568</v>
      </c>
      <c r="G6" s="7">
        <v>0</v>
      </c>
    </row>
    <row r="7" spans="1:7" x14ac:dyDescent="0.3">
      <c r="A7" s="1">
        <v>45078</v>
      </c>
      <c r="B7">
        <v>2023</v>
      </c>
      <c r="C7">
        <f t="shared" si="0"/>
        <v>6</v>
      </c>
      <c r="D7" t="s">
        <v>6</v>
      </c>
      <c r="E7" s="7">
        <v>0</v>
      </c>
      <c r="F7" s="7">
        <v>567.99</v>
      </c>
      <c r="G7" s="7">
        <v>0</v>
      </c>
    </row>
    <row r="8" spans="1:7" x14ac:dyDescent="0.3">
      <c r="A8" s="1">
        <v>45108</v>
      </c>
      <c r="B8">
        <v>2023</v>
      </c>
      <c r="C8">
        <f t="shared" si="0"/>
        <v>7</v>
      </c>
      <c r="D8" t="s">
        <v>7</v>
      </c>
      <c r="E8" s="7">
        <v>15075</v>
      </c>
      <c r="F8" s="7">
        <v>40887.47</v>
      </c>
      <c r="G8" s="7">
        <f t="shared" si="1"/>
        <v>2.712269983416252</v>
      </c>
    </row>
    <row r="9" spans="1:7" x14ac:dyDescent="0.3">
      <c r="A9" s="1">
        <v>45139</v>
      </c>
      <c r="B9">
        <v>2023</v>
      </c>
      <c r="C9">
        <f t="shared" si="0"/>
        <v>8</v>
      </c>
      <c r="D9" t="s">
        <v>8</v>
      </c>
      <c r="E9" s="7">
        <v>33136</v>
      </c>
      <c r="F9" s="7">
        <v>85966.75</v>
      </c>
      <c r="G9" s="7">
        <f t="shared" si="1"/>
        <v>2.5943611178174795</v>
      </c>
    </row>
    <row r="10" spans="1:7" x14ac:dyDescent="0.3">
      <c r="A10" s="1">
        <v>45170</v>
      </c>
      <c r="B10">
        <v>2023</v>
      </c>
      <c r="C10">
        <f t="shared" si="0"/>
        <v>9</v>
      </c>
      <c r="D10" t="s">
        <v>9</v>
      </c>
      <c r="E10" s="7">
        <v>24248</v>
      </c>
      <c r="F10" s="7">
        <v>68665.740000000005</v>
      </c>
      <c r="G10" s="7">
        <f t="shared" si="1"/>
        <v>2.8318104585945236</v>
      </c>
    </row>
    <row r="11" spans="1:7" x14ac:dyDescent="0.3">
      <c r="A11" s="1">
        <v>45200</v>
      </c>
      <c r="B11">
        <v>2023</v>
      </c>
      <c r="C11">
        <f t="shared" si="0"/>
        <v>10</v>
      </c>
      <c r="D11" t="s">
        <v>10</v>
      </c>
      <c r="E11" s="7">
        <v>24628</v>
      </c>
      <c r="F11" s="7">
        <v>68212.759999999995</v>
      </c>
      <c r="G11" s="7">
        <f t="shared" si="1"/>
        <v>2.7697238915056031</v>
      </c>
    </row>
    <row r="12" spans="1:7" x14ac:dyDescent="0.3">
      <c r="A12" s="1">
        <v>45231</v>
      </c>
      <c r="B12">
        <v>2023</v>
      </c>
      <c r="C12">
        <f t="shared" si="0"/>
        <v>11</v>
      </c>
      <c r="D12" t="s">
        <v>11</v>
      </c>
      <c r="E12" s="7">
        <v>19795</v>
      </c>
      <c r="F12" s="7">
        <v>54018.38</v>
      </c>
      <c r="G12" s="7">
        <f t="shared" si="1"/>
        <v>2.7288901237686285</v>
      </c>
    </row>
    <row r="13" spans="1:7" x14ac:dyDescent="0.3">
      <c r="A13" s="1">
        <v>45261</v>
      </c>
      <c r="B13">
        <v>2023</v>
      </c>
      <c r="C13">
        <f t="shared" si="0"/>
        <v>12</v>
      </c>
      <c r="D13" t="s">
        <v>1</v>
      </c>
      <c r="E13" s="7">
        <v>14119</v>
      </c>
      <c r="F13" s="7">
        <v>40009.65</v>
      </c>
      <c r="G13" s="7">
        <f t="shared" si="1"/>
        <v>2.8337453077413417</v>
      </c>
    </row>
    <row r="14" spans="1:7" x14ac:dyDescent="0.3">
      <c r="A14" s="1">
        <v>45292</v>
      </c>
      <c r="B14">
        <v>2024</v>
      </c>
      <c r="C14">
        <f>MONTH(A14)</f>
        <v>1</v>
      </c>
      <c r="D14" t="s">
        <v>0</v>
      </c>
      <c r="E14" s="7">
        <v>12223</v>
      </c>
      <c r="F14" s="7">
        <v>33964.519999999997</v>
      </c>
      <c r="G14" s="7">
        <f t="shared" si="1"/>
        <v>2.7787384439172049</v>
      </c>
    </row>
    <row r="15" spans="1:7" x14ac:dyDescent="0.3">
      <c r="A15" s="1">
        <v>45323</v>
      </c>
      <c r="B15">
        <v>2024</v>
      </c>
      <c r="C15">
        <f t="shared" ref="C15:C37" si="2">MONTH(A15)</f>
        <v>2</v>
      </c>
      <c r="D15" t="s">
        <v>2</v>
      </c>
      <c r="E15" s="7">
        <v>7418</v>
      </c>
      <c r="F15" s="7">
        <v>21335</v>
      </c>
      <c r="G15" s="7">
        <f t="shared" si="1"/>
        <v>2.8761121596117554</v>
      </c>
    </row>
    <row r="16" spans="1:7" x14ac:dyDescent="0.3">
      <c r="A16" s="1">
        <v>45352</v>
      </c>
      <c r="B16">
        <v>2024</v>
      </c>
      <c r="C16">
        <f t="shared" si="2"/>
        <v>3</v>
      </c>
      <c r="D16" t="s">
        <v>3</v>
      </c>
      <c r="E16" s="7">
        <v>6098</v>
      </c>
      <c r="F16" s="7">
        <v>18623.009999999998</v>
      </c>
      <c r="G16" s="7">
        <f t="shared" si="1"/>
        <v>3.0539537553296161</v>
      </c>
    </row>
    <row r="17" spans="1:7" x14ac:dyDescent="0.3">
      <c r="A17" s="1">
        <v>45383</v>
      </c>
      <c r="B17">
        <v>2024</v>
      </c>
      <c r="C17">
        <f t="shared" si="2"/>
        <v>4</v>
      </c>
      <c r="D17" t="s">
        <v>4</v>
      </c>
      <c r="E17" s="7">
        <v>694</v>
      </c>
      <c r="F17" s="7">
        <v>2800.74</v>
      </c>
      <c r="G17" s="7">
        <f t="shared" si="1"/>
        <v>4.0356484149855909</v>
      </c>
    </row>
    <row r="18" spans="1:7" x14ac:dyDescent="0.3">
      <c r="A18" s="1">
        <v>45413</v>
      </c>
      <c r="B18">
        <v>2024</v>
      </c>
      <c r="C18">
        <f t="shared" si="2"/>
        <v>5</v>
      </c>
      <c r="D18" t="s">
        <v>5</v>
      </c>
      <c r="E18" s="7">
        <v>0</v>
      </c>
      <c r="F18" s="7">
        <v>584.98</v>
      </c>
      <c r="G18" s="7">
        <v>0</v>
      </c>
    </row>
    <row r="19" spans="1:7" x14ac:dyDescent="0.3">
      <c r="A19" s="1">
        <v>45444</v>
      </c>
      <c r="B19">
        <v>2024</v>
      </c>
      <c r="C19">
        <f t="shared" si="2"/>
        <v>6</v>
      </c>
      <c r="D19" t="s">
        <v>6</v>
      </c>
      <c r="E19" s="7">
        <v>12835</v>
      </c>
      <c r="F19" s="7">
        <v>35170.61</v>
      </c>
      <c r="G19" s="7">
        <f t="shared" si="1"/>
        <v>2.7402111414102066</v>
      </c>
    </row>
    <row r="20" spans="1:7" x14ac:dyDescent="0.3">
      <c r="A20" s="1">
        <v>45474</v>
      </c>
      <c r="B20">
        <v>2024</v>
      </c>
      <c r="C20">
        <f t="shared" si="2"/>
        <v>7</v>
      </c>
      <c r="D20" t="s">
        <v>7</v>
      </c>
      <c r="E20" s="7">
        <v>24199</v>
      </c>
      <c r="F20" s="7">
        <v>64085.68</v>
      </c>
      <c r="G20" s="7">
        <f t="shared" si="1"/>
        <v>2.6482780280176867</v>
      </c>
    </row>
    <row r="21" spans="1:7" x14ac:dyDescent="0.3">
      <c r="A21" s="1">
        <v>45505</v>
      </c>
      <c r="B21">
        <v>2024</v>
      </c>
      <c r="C21">
        <f t="shared" si="2"/>
        <v>8</v>
      </c>
      <c r="D21" t="s">
        <v>8</v>
      </c>
      <c r="E21" s="7">
        <v>19919</v>
      </c>
      <c r="F21" s="7">
        <v>55743.7</v>
      </c>
      <c r="G21" s="7">
        <f t="shared" si="1"/>
        <v>2.7985190019579296</v>
      </c>
    </row>
    <row r="22" spans="1:7" x14ac:dyDescent="0.3">
      <c r="A22" s="1">
        <v>45536</v>
      </c>
      <c r="B22">
        <v>2024</v>
      </c>
      <c r="C22">
        <f t="shared" si="2"/>
        <v>9</v>
      </c>
      <c r="D22" t="s">
        <v>9</v>
      </c>
      <c r="E22" s="7">
        <v>19934</v>
      </c>
      <c r="F22" s="7">
        <v>56307.33</v>
      </c>
      <c r="G22" s="7">
        <f t="shared" si="1"/>
        <v>2.8246879703019965</v>
      </c>
    </row>
    <row r="23" spans="1:7" x14ac:dyDescent="0.3">
      <c r="A23" s="1">
        <v>45566</v>
      </c>
      <c r="B23">
        <v>2024</v>
      </c>
      <c r="C23">
        <f t="shared" si="2"/>
        <v>10</v>
      </c>
      <c r="D23" t="s">
        <v>10</v>
      </c>
      <c r="E23" s="7">
        <v>21866</v>
      </c>
      <c r="F23" s="7">
        <v>61751.11</v>
      </c>
      <c r="G23" s="7">
        <f t="shared" si="1"/>
        <v>2.8240697887130706</v>
      </c>
    </row>
    <row r="24" spans="1:7" x14ac:dyDescent="0.3">
      <c r="A24" s="1">
        <v>45597</v>
      </c>
      <c r="B24">
        <v>2024</v>
      </c>
      <c r="C24">
        <f t="shared" si="2"/>
        <v>11</v>
      </c>
      <c r="D24" t="s">
        <v>11</v>
      </c>
      <c r="E24" s="7">
        <v>25977</v>
      </c>
      <c r="F24" s="7">
        <v>66351.399999999994</v>
      </c>
      <c r="G24" s="7">
        <f t="shared" si="1"/>
        <v>2.5542364399276281</v>
      </c>
    </row>
    <row r="25" spans="1:7" x14ac:dyDescent="0.3">
      <c r="A25" s="1">
        <v>45627</v>
      </c>
      <c r="B25">
        <v>2024</v>
      </c>
      <c r="C25">
        <f t="shared" si="2"/>
        <v>12</v>
      </c>
      <c r="D25" t="s">
        <v>1</v>
      </c>
      <c r="E25" s="7">
        <v>15250</v>
      </c>
      <c r="F25" s="7">
        <v>42969.41</v>
      </c>
      <c r="G25" s="7">
        <f t="shared" si="1"/>
        <v>2.8176662295081969</v>
      </c>
    </row>
    <row r="26" spans="1:7" x14ac:dyDescent="0.3">
      <c r="A26" s="1">
        <v>45658</v>
      </c>
      <c r="B26">
        <v>2025</v>
      </c>
      <c r="C26">
        <f t="shared" si="2"/>
        <v>1</v>
      </c>
      <c r="D26" t="s">
        <v>0</v>
      </c>
      <c r="E26" s="7">
        <v>18776</v>
      </c>
      <c r="F26" s="7">
        <v>50409.22</v>
      </c>
      <c r="G26" s="7">
        <f t="shared" si="1"/>
        <v>2.6847688538559864</v>
      </c>
    </row>
    <row r="27" spans="1:7" x14ac:dyDescent="0.3">
      <c r="A27" s="1">
        <v>45689</v>
      </c>
      <c r="B27">
        <v>2025</v>
      </c>
      <c r="C27">
        <f t="shared" si="2"/>
        <v>2</v>
      </c>
      <c r="D27" t="s">
        <v>2</v>
      </c>
      <c r="E27" s="7">
        <v>11311</v>
      </c>
      <c r="F27" s="7">
        <v>30455.74</v>
      </c>
      <c r="G27" s="7">
        <f t="shared" si="1"/>
        <v>2.6925771372999736</v>
      </c>
    </row>
    <row r="28" spans="1:7" x14ac:dyDescent="0.3">
      <c r="A28" s="1">
        <v>45717</v>
      </c>
      <c r="B28">
        <v>2025</v>
      </c>
      <c r="C28">
        <f t="shared" si="2"/>
        <v>3</v>
      </c>
      <c r="D28" t="s">
        <v>3</v>
      </c>
      <c r="E28" s="7">
        <v>8354</v>
      </c>
      <c r="F28" s="7">
        <v>23972.29</v>
      </c>
      <c r="G28" s="7">
        <f t="shared" si="1"/>
        <v>2.8695582954273404</v>
      </c>
    </row>
    <row r="29" spans="1:7" x14ac:dyDescent="0.3">
      <c r="A29" s="1">
        <v>45748</v>
      </c>
      <c r="B29">
        <v>2025</v>
      </c>
      <c r="C29">
        <f t="shared" si="2"/>
        <v>4</v>
      </c>
      <c r="D29" t="s">
        <v>4</v>
      </c>
      <c r="E29" s="7">
        <v>6811</v>
      </c>
      <c r="F29" s="7">
        <v>19360.86</v>
      </c>
      <c r="G29" s="7">
        <f t="shared" si="1"/>
        <v>2.842586991631185</v>
      </c>
    </row>
    <row r="30" spans="1:7" x14ac:dyDescent="0.3">
      <c r="A30" s="1">
        <v>45778</v>
      </c>
      <c r="B30">
        <v>2025</v>
      </c>
      <c r="C30">
        <f t="shared" si="2"/>
        <v>5</v>
      </c>
      <c r="D30" t="s">
        <v>5</v>
      </c>
      <c r="E30" s="7">
        <v>0</v>
      </c>
      <c r="F30" s="7">
        <v>793.22</v>
      </c>
      <c r="G30" s="7">
        <v>0</v>
      </c>
    </row>
    <row r="31" spans="1:7" x14ac:dyDescent="0.3">
      <c r="A31" s="1">
        <v>45809</v>
      </c>
      <c r="B31">
        <v>2025</v>
      </c>
      <c r="C31">
        <f t="shared" si="2"/>
        <v>6</v>
      </c>
      <c r="D31" t="s">
        <v>6</v>
      </c>
      <c r="E31" s="7">
        <v>0</v>
      </c>
      <c r="F31" s="7">
        <v>793.22</v>
      </c>
      <c r="G31" s="7">
        <v>0</v>
      </c>
    </row>
    <row r="32" spans="1:7" x14ac:dyDescent="0.3">
      <c r="A32" s="1">
        <v>45839</v>
      </c>
      <c r="B32">
        <v>2025</v>
      </c>
      <c r="C32">
        <f t="shared" si="2"/>
        <v>7</v>
      </c>
      <c r="D32" t="s">
        <v>7</v>
      </c>
      <c r="E32" s="7">
        <v>0</v>
      </c>
      <c r="F32" s="7">
        <v>793.22</v>
      </c>
      <c r="G32" s="7">
        <v>0</v>
      </c>
    </row>
    <row r="33" spans="1:7" x14ac:dyDescent="0.3">
      <c r="A33" s="1">
        <v>45870</v>
      </c>
      <c r="B33">
        <v>2025</v>
      </c>
      <c r="C33">
        <f t="shared" si="2"/>
        <v>8</v>
      </c>
      <c r="D33" t="s">
        <v>8</v>
      </c>
      <c r="E33" s="7">
        <v>10850</v>
      </c>
      <c r="F33" s="7">
        <v>31897.98</v>
      </c>
      <c r="G33" s="7">
        <f t="shared" si="1"/>
        <v>2.93990599078341</v>
      </c>
    </row>
    <row r="34" spans="1:7" x14ac:dyDescent="0.3">
      <c r="A34" s="1">
        <v>45901</v>
      </c>
      <c r="B34">
        <v>2025</v>
      </c>
      <c r="C34">
        <f t="shared" si="2"/>
        <v>9</v>
      </c>
      <c r="D34" t="s">
        <v>9</v>
      </c>
      <c r="E34" s="7">
        <v>15839</v>
      </c>
      <c r="F34" s="7">
        <v>46491.42</v>
      </c>
      <c r="G34" s="7">
        <f t="shared" si="1"/>
        <v>2.9352497001073301</v>
      </c>
    </row>
    <row r="35" spans="1:7" x14ac:dyDescent="0.3">
      <c r="A35" s="1">
        <v>45931</v>
      </c>
      <c r="B35">
        <v>2025</v>
      </c>
      <c r="C35">
        <f t="shared" si="2"/>
        <v>10</v>
      </c>
      <c r="D35" t="s">
        <v>10</v>
      </c>
      <c r="E35" s="7">
        <v>15821</v>
      </c>
      <c r="F35" s="7">
        <v>46290.720000000001</v>
      </c>
      <c r="G35" s="7">
        <f t="shared" si="1"/>
        <v>2.9259035459199798</v>
      </c>
    </row>
    <row r="36" spans="1:7" x14ac:dyDescent="0.3">
      <c r="A36" s="1">
        <v>45962</v>
      </c>
      <c r="B36">
        <v>2025</v>
      </c>
      <c r="C36">
        <f t="shared" si="2"/>
        <v>11</v>
      </c>
      <c r="D36" t="s">
        <v>11</v>
      </c>
      <c r="E36" s="7">
        <v>15514</v>
      </c>
      <c r="F36" s="7">
        <v>45805.15</v>
      </c>
      <c r="G36" s="7">
        <f t="shared" si="1"/>
        <v>2.9525041897640842</v>
      </c>
    </row>
    <row r="37" spans="1:7" x14ac:dyDescent="0.3">
      <c r="A37" s="1">
        <v>45992</v>
      </c>
      <c r="B37">
        <v>2025</v>
      </c>
      <c r="C37">
        <f t="shared" si="2"/>
        <v>12</v>
      </c>
      <c r="D37" t="s">
        <v>1</v>
      </c>
      <c r="E37" s="7">
        <v>12281</v>
      </c>
      <c r="F37" s="7">
        <v>36068.080000000002</v>
      </c>
      <c r="G37" s="7">
        <f t="shared" si="1"/>
        <v>2.9369009038351925</v>
      </c>
    </row>
  </sheetData>
  <printOptions horizontalCentered="1"/>
  <pageMargins left="0.31496062992125984" right="0.31496062992125984" top="0.35433070866141736" bottom="0.35433070866141736" header="0.31496062992125984" footer="0.31496062992125984"/>
  <pageSetup scale="68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E4906-8A6A-4EA0-8289-95011F2E8479}">
  <sheetPr>
    <tabColor rgb="FF00B050"/>
    <pageSetUpPr fitToPage="1"/>
  </sheetPr>
  <dimension ref="A1:H37"/>
  <sheetViews>
    <sheetView showGridLines="0" workbookViewId="0">
      <pane xSplit="5" ySplit="1" topLeftCell="F2" activePane="bottomRight" state="frozen"/>
      <selection pane="topRight" activeCell="D1" sqref="D1"/>
      <selection pane="bottomLeft" activeCell="A2" sqref="A2"/>
      <selection pane="bottomRight" activeCell="F1" sqref="F1"/>
    </sheetView>
  </sheetViews>
  <sheetFormatPr baseColWidth="10" defaultRowHeight="14.4" x14ac:dyDescent="0.3"/>
  <cols>
    <col min="2" max="2" width="6.44140625" customWidth="1"/>
    <col min="3" max="4" width="6.21875" customWidth="1"/>
    <col min="5" max="5" width="12" customWidth="1"/>
    <col min="6" max="6" width="12.5546875" bestFit="1" customWidth="1"/>
    <col min="7" max="7" width="13.5546875" bestFit="1" customWidth="1"/>
    <col min="8" max="8" width="11.6640625" bestFit="1" customWidth="1"/>
  </cols>
  <sheetData>
    <row r="1" spans="1:8" x14ac:dyDescent="0.3">
      <c r="A1" s="2" t="s">
        <v>13</v>
      </c>
      <c r="B1" s="8" t="s">
        <v>18</v>
      </c>
      <c r="C1" s="3" t="s">
        <v>14</v>
      </c>
      <c r="D1" s="5" t="s">
        <v>15</v>
      </c>
      <c r="E1" s="5" t="s">
        <v>16</v>
      </c>
      <c r="F1" t="s">
        <v>21</v>
      </c>
      <c r="G1" t="s">
        <v>22</v>
      </c>
      <c r="H1" t="s">
        <v>23</v>
      </c>
    </row>
    <row r="2" spans="1:8" x14ac:dyDescent="0.3">
      <c r="A2" s="1">
        <v>44927</v>
      </c>
      <c r="B2">
        <v>2023</v>
      </c>
      <c r="C2">
        <f>MONTH(A2)</f>
        <v>1</v>
      </c>
      <c r="D2" t="s">
        <v>0</v>
      </c>
      <c r="F2" s="7">
        <v>938</v>
      </c>
      <c r="G2" s="7">
        <v>41014.07</v>
      </c>
      <c r="H2" s="7">
        <f>G2/F2</f>
        <v>43.72502132196162</v>
      </c>
    </row>
    <row r="3" spans="1:8" x14ac:dyDescent="0.3">
      <c r="A3" s="1">
        <v>44958</v>
      </c>
      <c r="B3">
        <v>2023</v>
      </c>
      <c r="C3">
        <f t="shared" ref="C3:C13" si="0">MONTH(A3)</f>
        <v>2</v>
      </c>
      <c r="D3" t="s">
        <v>2</v>
      </c>
      <c r="F3" s="7">
        <v>658</v>
      </c>
      <c r="G3" s="7">
        <v>27379.38</v>
      </c>
      <c r="H3" s="7">
        <f t="shared" ref="H3:H37" si="1">G3/F3</f>
        <v>41.61</v>
      </c>
    </row>
    <row r="4" spans="1:8" x14ac:dyDescent="0.3">
      <c r="A4" s="1">
        <v>44986</v>
      </c>
      <c r="B4">
        <v>2023</v>
      </c>
      <c r="C4">
        <f t="shared" si="0"/>
        <v>3</v>
      </c>
      <c r="D4" t="s">
        <v>3</v>
      </c>
      <c r="F4" s="7">
        <v>564</v>
      </c>
      <c r="G4" s="7">
        <v>23468</v>
      </c>
      <c r="H4" s="7">
        <f t="shared" si="1"/>
        <v>41.609929078014183</v>
      </c>
    </row>
    <row r="5" spans="1:8" x14ac:dyDescent="0.3">
      <c r="A5" s="1">
        <v>45017</v>
      </c>
      <c r="B5">
        <v>2023</v>
      </c>
      <c r="C5">
        <f t="shared" si="0"/>
        <v>4</v>
      </c>
      <c r="D5" t="s">
        <v>4</v>
      </c>
      <c r="F5" s="7">
        <v>899</v>
      </c>
      <c r="G5" s="7">
        <v>45606</v>
      </c>
      <c r="H5" s="7">
        <f t="shared" si="1"/>
        <v>50.729699666295886</v>
      </c>
    </row>
    <row r="6" spans="1:8" x14ac:dyDescent="0.3">
      <c r="A6" s="1">
        <v>45047</v>
      </c>
      <c r="B6">
        <v>2023</v>
      </c>
      <c r="C6">
        <f t="shared" si="0"/>
        <v>5</v>
      </c>
      <c r="D6" t="s">
        <v>5</v>
      </c>
      <c r="F6" s="7">
        <v>693</v>
      </c>
      <c r="G6" s="7">
        <v>28835</v>
      </c>
      <c r="H6" s="7">
        <f t="shared" si="1"/>
        <v>41.60894660894661</v>
      </c>
    </row>
    <row r="7" spans="1:8" x14ac:dyDescent="0.3">
      <c r="A7" s="1">
        <v>45078</v>
      </c>
      <c r="B7">
        <v>2023</v>
      </c>
      <c r="C7">
        <f t="shared" si="0"/>
        <v>6</v>
      </c>
      <c r="D7" t="s">
        <v>6</v>
      </c>
      <c r="F7" s="7">
        <v>1158</v>
      </c>
      <c r="G7" s="7">
        <v>50633.52</v>
      </c>
      <c r="H7" s="7">
        <f t="shared" si="1"/>
        <v>43.724974093264244</v>
      </c>
    </row>
    <row r="8" spans="1:8" x14ac:dyDescent="0.3">
      <c r="A8" s="1">
        <v>45108</v>
      </c>
      <c r="B8">
        <v>2023</v>
      </c>
      <c r="C8">
        <f t="shared" si="0"/>
        <v>7</v>
      </c>
      <c r="D8" t="s">
        <v>7</v>
      </c>
      <c r="F8" s="7">
        <v>779</v>
      </c>
      <c r="G8" s="7">
        <v>34061.75</v>
      </c>
      <c r="H8" s="7">
        <f t="shared" si="1"/>
        <v>43.724967907573813</v>
      </c>
    </row>
    <row r="9" spans="1:8" x14ac:dyDescent="0.3">
      <c r="A9" s="1">
        <v>45139</v>
      </c>
      <c r="B9">
        <v>2023</v>
      </c>
      <c r="C9">
        <f t="shared" si="0"/>
        <v>8</v>
      </c>
      <c r="D9" t="s">
        <v>8</v>
      </c>
      <c r="F9" s="7">
        <v>623</v>
      </c>
      <c r="G9" s="7">
        <v>25923.03</v>
      </c>
      <c r="H9" s="7">
        <f t="shared" si="1"/>
        <v>41.61</v>
      </c>
    </row>
    <row r="10" spans="1:8" x14ac:dyDescent="0.3">
      <c r="A10" s="1">
        <v>45170</v>
      </c>
      <c r="B10">
        <v>2023</v>
      </c>
      <c r="C10">
        <f t="shared" si="0"/>
        <v>9</v>
      </c>
      <c r="D10" t="s">
        <v>9</v>
      </c>
      <c r="F10" s="7">
        <v>441</v>
      </c>
      <c r="G10" s="7">
        <v>17284.97</v>
      </c>
      <c r="H10" s="7">
        <f t="shared" si="1"/>
        <v>39.1949433106576</v>
      </c>
    </row>
    <row r="11" spans="1:8" x14ac:dyDescent="0.3">
      <c r="A11" s="1">
        <v>45200</v>
      </c>
      <c r="B11">
        <v>2023</v>
      </c>
      <c r="C11">
        <f t="shared" si="0"/>
        <v>10</v>
      </c>
      <c r="D11" t="s">
        <v>10</v>
      </c>
      <c r="F11" s="7">
        <v>461</v>
      </c>
      <c r="G11" s="7">
        <v>18068.86</v>
      </c>
      <c r="H11" s="7">
        <f t="shared" si="1"/>
        <v>39.194924078091105</v>
      </c>
    </row>
    <row r="12" spans="1:8" x14ac:dyDescent="0.3">
      <c r="A12" s="1">
        <v>45231</v>
      </c>
      <c r="B12">
        <v>2023</v>
      </c>
      <c r="C12">
        <f t="shared" si="0"/>
        <v>11</v>
      </c>
      <c r="D12" t="s">
        <v>11</v>
      </c>
      <c r="F12" s="7">
        <v>652</v>
      </c>
      <c r="G12" s="7">
        <v>27129.69</v>
      </c>
      <c r="H12" s="7">
        <f t="shared" si="1"/>
        <v>41.609953987730059</v>
      </c>
    </row>
    <row r="13" spans="1:8" x14ac:dyDescent="0.3">
      <c r="A13" s="1">
        <v>45261</v>
      </c>
      <c r="B13">
        <v>2023</v>
      </c>
      <c r="C13">
        <f t="shared" si="0"/>
        <v>12</v>
      </c>
      <c r="D13" t="s">
        <v>1</v>
      </c>
      <c r="F13" s="7">
        <v>753</v>
      </c>
      <c r="G13" s="7">
        <v>32924.93</v>
      </c>
      <c r="H13" s="7">
        <f t="shared" si="1"/>
        <v>43.725006640106244</v>
      </c>
    </row>
    <row r="14" spans="1:8" x14ac:dyDescent="0.3">
      <c r="A14" s="1">
        <v>45292</v>
      </c>
      <c r="B14">
        <v>2024</v>
      </c>
      <c r="C14">
        <f>MONTH(A14)</f>
        <v>1</v>
      </c>
      <c r="D14" t="s">
        <v>0</v>
      </c>
      <c r="F14" s="7">
        <v>539</v>
      </c>
      <c r="G14" s="7">
        <v>23397.98</v>
      </c>
      <c r="H14" s="7">
        <f t="shared" si="1"/>
        <v>43.409981447124302</v>
      </c>
    </row>
    <row r="15" spans="1:8" x14ac:dyDescent="0.3">
      <c r="A15" s="1">
        <v>45323</v>
      </c>
      <c r="B15">
        <v>2024</v>
      </c>
      <c r="C15">
        <f t="shared" ref="C15:C37" si="2">MONTH(A15)</f>
        <v>2</v>
      </c>
      <c r="D15" t="s">
        <v>2</v>
      </c>
      <c r="F15" s="7">
        <v>661</v>
      </c>
      <c r="G15" s="7">
        <v>28694.02</v>
      </c>
      <c r="H15" s="7">
        <f t="shared" si="1"/>
        <v>43.410015128593038</v>
      </c>
    </row>
    <row r="16" spans="1:8" x14ac:dyDescent="0.3">
      <c r="A16" s="1">
        <v>45352</v>
      </c>
      <c r="B16">
        <v>2024</v>
      </c>
      <c r="C16">
        <f t="shared" si="2"/>
        <v>3</v>
      </c>
      <c r="D16" t="s">
        <v>3</v>
      </c>
      <c r="F16" s="7">
        <v>505</v>
      </c>
      <c r="G16" s="7">
        <v>21922.03</v>
      </c>
      <c r="H16" s="7">
        <f t="shared" si="1"/>
        <v>43.409960396039601</v>
      </c>
    </row>
    <row r="17" spans="1:8" x14ac:dyDescent="0.3">
      <c r="A17" s="1">
        <v>45383</v>
      </c>
      <c r="B17">
        <v>2024</v>
      </c>
      <c r="C17">
        <f t="shared" si="2"/>
        <v>4</v>
      </c>
      <c r="D17" t="s">
        <v>4</v>
      </c>
      <c r="F17" s="7">
        <v>515</v>
      </c>
      <c r="G17" s="7">
        <v>22356.12</v>
      </c>
      <c r="H17" s="7">
        <f t="shared" si="1"/>
        <v>43.409941747572816</v>
      </c>
    </row>
    <row r="18" spans="1:8" x14ac:dyDescent="0.3">
      <c r="A18" s="1">
        <v>45413</v>
      </c>
      <c r="B18">
        <v>2024</v>
      </c>
      <c r="C18">
        <f t="shared" si="2"/>
        <v>5</v>
      </c>
      <c r="D18" t="s">
        <v>5</v>
      </c>
      <c r="F18" s="7">
        <v>734</v>
      </c>
      <c r="G18" s="7">
        <v>31862.9</v>
      </c>
      <c r="H18" s="7">
        <f t="shared" si="1"/>
        <v>43.409945504087197</v>
      </c>
    </row>
    <row r="19" spans="1:8" x14ac:dyDescent="0.3">
      <c r="A19" s="1">
        <v>45444</v>
      </c>
      <c r="B19">
        <v>2024</v>
      </c>
      <c r="C19">
        <f t="shared" si="2"/>
        <v>6</v>
      </c>
      <c r="D19" t="s">
        <v>6</v>
      </c>
      <c r="F19" s="7">
        <v>455</v>
      </c>
      <c r="G19" s="7">
        <v>18598.12</v>
      </c>
      <c r="H19" s="7">
        <f t="shared" si="1"/>
        <v>40.874989010989012</v>
      </c>
    </row>
    <row r="20" spans="1:8" x14ac:dyDescent="0.3">
      <c r="A20" s="1">
        <v>45474</v>
      </c>
      <c r="B20">
        <v>2024</v>
      </c>
      <c r="C20">
        <f t="shared" si="2"/>
        <v>7</v>
      </c>
      <c r="D20" t="s">
        <v>7</v>
      </c>
      <c r="F20" s="7">
        <v>73</v>
      </c>
      <c r="G20" s="7">
        <v>2198.7199999999998</v>
      </c>
      <c r="H20" s="7">
        <f t="shared" si="1"/>
        <v>30.119452054794518</v>
      </c>
    </row>
    <row r="21" spans="1:8" x14ac:dyDescent="0.3">
      <c r="A21" s="1">
        <v>45505</v>
      </c>
      <c r="B21">
        <v>2024</v>
      </c>
      <c r="C21">
        <f t="shared" si="2"/>
        <v>8</v>
      </c>
      <c r="D21" t="s">
        <v>8</v>
      </c>
      <c r="F21" s="7">
        <v>341</v>
      </c>
      <c r="G21" s="7">
        <v>13181.35</v>
      </c>
      <c r="H21" s="7">
        <f t="shared" si="1"/>
        <v>38.654985337243403</v>
      </c>
    </row>
    <row r="22" spans="1:8" x14ac:dyDescent="0.3">
      <c r="A22" s="1">
        <v>45536</v>
      </c>
      <c r="B22">
        <v>2024</v>
      </c>
      <c r="C22">
        <f t="shared" si="2"/>
        <v>9</v>
      </c>
      <c r="D22" t="s">
        <v>9</v>
      </c>
      <c r="F22" s="7">
        <v>197</v>
      </c>
      <c r="G22" s="7">
        <v>7213.15</v>
      </c>
      <c r="H22" s="7">
        <f t="shared" si="1"/>
        <v>36.614974619289342</v>
      </c>
    </row>
    <row r="23" spans="1:8" x14ac:dyDescent="0.3">
      <c r="A23" s="1">
        <v>45566</v>
      </c>
      <c r="B23">
        <v>2024</v>
      </c>
      <c r="C23">
        <f t="shared" si="2"/>
        <v>10</v>
      </c>
      <c r="D23" t="s">
        <v>10</v>
      </c>
      <c r="F23" s="7">
        <v>498</v>
      </c>
      <c r="G23" s="7">
        <v>20355.75</v>
      </c>
      <c r="H23" s="7">
        <f t="shared" si="1"/>
        <v>40.875</v>
      </c>
    </row>
    <row r="24" spans="1:8" x14ac:dyDescent="0.3">
      <c r="A24" s="1">
        <v>45597</v>
      </c>
      <c r="B24">
        <v>2024</v>
      </c>
      <c r="C24">
        <f t="shared" si="2"/>
        <v>11</v>
      </c>
      <c r="D24" t="s">
        <v>11</v>
      </c>
      <c r="F24" s="7">
        <v>413</v>
      </c>
      <c r="G24" s="7">
        <v>16881.37</v>
      </c>
      <c r="H24" s="7">
        <f t="shared" si="1"/>
        <v>40.874987893462468</v>
      </c>
    </row>
    <row r="25" spans="1:8" x14ac:dyDescent="0.3">
      <c r="A25" s="1">
        <v>45627</v>
      </c>
      <c r="B25">
        <v>2024</v>
      </c>
      <c r="C25">
        <f t="shared" si="2"/>
        <v>12</v>
      </c>
      <c r="D25" t="s">
        <v>1</v>
      </c>
      <c r="F25" s="7">
        <v>358</v>
      </c>
      <c r="G25" s="7">
        <v>14633.25</v>
      </c>
      <c r="H25" s="7">
        <f t="shared" si="1"/>
        <v>40.875</v>
      </c>
    </row>
    <row r="26" spans="1:8" x14ac:dyDescent="0.3">
      <c r="A26" s="1">
        <v>45658</v>
      </c>
      <c r="B26">
        <v>2025</v>
      </c>
      <c r="C26">
        <f t="shared" si="2"/>
        <v>1</v>
      </c>
      <c r="D26" t="s">
        <v>0</v>
      </c>
      <c r="F26" s="7">
        <v>301</v>
      </c>
      <c r="G26" s="7">
        <v>12167.92</v>
      </c>
      <c r="H26" s="7">
        <f t="shared" si="1"/>
        <v>40.42498338870432</v>
      </c>
    </row>
    <row r="27" spans="1:8" x14ac:dyDescent="0.3">
      <c r="A27" s="1">
        <v>45689</v>
      </c>
      <c r="B27">
        <v>2025</v>
      </c>
      <c r="C27">
        <f t="shared" si="2"/>
        <v>2</v>
      </c>
      <c r="D27" t="s">
        <v>2</v>
      </c>
      <c r="F27" s="7">
        <v>419</v>
      </c>
      <c r="G27" s="7">
        <v>17905.96</v>
      </c>
      <c r="H27" s="7">
        <f t="shared" si="1"/>
        <v>42.734988066825771</v>
      </c>
    </row>
    <row r="28" spans="1:8" x14ac:dyDescent="0.3">
      <c r="A28" s="1">
        <v>45717</v>
      </c>
      <c r="B28">
        <v>2025</v>
      </c>
      <c r="C28">
        <f t="shared" si="2"/>
        <v>3</v>
      </c>
      <c r="D28" t="s">
        <v>3</v>
      </c>
      <c r="F28" s="7">
        <v>382</v>
      </c>
      <c r="G28" s="7">
        <v>16324.76</v>
      </c>
      <c r="H28" s="7">
        <f t="shared" si="1"/>
        <v>42.734973821989527</v>
      </c>
    </row>
    <row r="29" spans="1:8" x14ac:dyDescent="0.3">
      <c r="A29" s="1">
        <v>45748</v>
      </c>
      <c r="B29">
        <v>2025</v>
      </c>
      <c r="C29">
        <f t="shared" si="2"/>
        <v>4</v>
      </c>
      <c r="D29" t="s">
        <v>4</v>
      </c>
      <c r="F29" s="7">
        <v>570</v>
      </c>
      <c r="G29" s="7">
        <v>25872.3</v>
      </c>
      <c r="H29" s="7">
        <f t="shared" si="1"/>
        <v>45.39</v>
      </c>
    </row>
    <row r="30" spans="1:8" x14ac:dyDescent="0.3">
      <c r="A30" s="1">
        <v>45778</v>
      </c>
      <c r="B30">
        <v>2025</v>
      </c>
      <c r="C30">
        <f t="shared" si="2"/>
        <v>5</v>
      </c>
      <c r="D30" t="s">
        <v>5</v>
      </c>
      <c r="F30" s="7">
        <v>688</v>
      </c>
      <c r="G30" s="7">
        <v>31228.32</v>
      </c>
      <c r="H30" s="7">
        <f t="shared" si="1"/>
        <v>45.39</v>
      </c>
    </row>
    <row r="31" spans="1:8" x14ac:dyDescent="0.3">
      <c r="A31" s="1">
        <v>45809</v>
      </c>
      <c r="B31">
        <v>2025</v>
      </c>
      <c r="C31">
        <f t="shared" si="2"/>
        <v>6</v>
      </c>
      <c r="D31" t="s">
        <v>6</v>
      </c>
      <c r="F31" s="7">
        <v>568</v>
      </c>
      <c r="G31" s="7">
        <v>25781.51</v>
      </c>
      <c r="H31" s="7">
        <f t="shared" si="1"/>
        <v>45.389982394366193</v>
      </c>
    </row>
    <row r="32" spans="1:8" x14ac:dyDescent="0.3">
      <c r="A32" s="1">
        <v>45839</v>
      </c>
      <c r="B32">
        <v>2025</v>
      </c>
      <c r="C32">
        <f t="shared" si="2"/>
        <v>7</v>
      </c>
      <c r="D32" t="s">
        <v>7</v>
      </c>
      <c r="F32" s="7">
        <v>327</v>
      </c>
      <c r="G32" s="7">
        <v>13218.97</v>
      </c>
      <c r="H32" s="7">
        <f t="shared" si="1"/>
        <v>40.424984709480121</v>
      </c>
    </row>
    <row r="33" spans="1:8" x14ac:dyDescent="0.3">
      <c r="A33" s="1">
        <v>45870</v>
      </c>
      <c r="B33">
        <v>2025</v>
      </c>
      <c r="C33">
        <f t="shared" si="2"/>
        <v>8</v>
      </c>
      <c r="D33" t="s">
        <v>8</v>
      </c>
      <c r="F33" s="7">
        <v>432</v>
      </c>
      <c r="G33" s="7">
        <v>18461.509999999998</v>
      </c>
      <c r="H33" s="7">
        <f t="shared" si="1"/>
        <v>42.734976851851847</v>
      </c>
    </row>
    <row r="34" spans="1:8" x14ac:dyDescent="0.3">
      <c r="A34" s="1">
        <v>45901</v>
      </c>
      <c r="B34">
        <v>2025</v>
      </c>
      <c r="C34">
        <f t="shared" si="2"/>
        <v>9</v>
      </c>
      <c r="D34" t="s">
        <v>9</v>
      </c>
      <c r="F34" s="7">
        <v>500</v>
      </c>
      <c r="G34" s="7">
        <v>21367.49</v>
      </c>
      <c r="H34" s="7">
        <f t="shared" si="1"/>
        <v>42.73498</v>
      </c>
    </row>
    <row r="35" spans="1:8" x14ac:dyDescent="0.3">
      <c r="A35" s="1">
        <v>45931</v>
      </c>
      <c r="B35">
        <v>2025</v>
      </c>
      <c r="C35">
        <f t="shared" si="2"/>
        <v>10</v>
      </c>
      <c r="D35" t="s">
        <v>10</v>
      </c>
      <c r="F35" s="7">
        <v>485</v>
      </c>
      <c r="G35" s="7">
        <v>20726.419999999998</v>
      </c>
      <c r="H35" s="7">
        <f t="shared" si="1"/>
        <v>42.734886597938143</v>
      </c>
    </row>
    <row r="36" spans="1:8" x14ac:dyDescent="0.3">
      <c r="A36" s="1">
        <v>45962</v>
      </c>
      <c r="B36">
        <v>2025</v>
      </c>
      <c r="C36">
        <f t="shared" si="2"/>
        <v>11</v>
      </c>
      <c r="D36" t="s">
        <v>11</v>
      </c>
      <c r="F36" s="7">
        <v>492</v>
      </c>
      <c r="G36" s="7">
        <v>21025.61</v>
      </c>
      <c r="H36" s="7">
        <f t="shared" si="1"/>
        <v>42.734979674796747</v>
      </c>
    </row>
    <row r="37" spans="1:8" x14ac:dyDescent="0.3">
      <c r="A37" s="1">
        <v>45992</v>
      </c>
      <c r="B37">
        <v>2025</v>
      </c>
      <c r="C37">
        <f t="shared" si="2"/>
        <v>12</v>
      </c>
      <c r="D37" t="s">
        <v>1</v>
      </c>
      <c r="F37" s="7">
        <v>372</v>
      </c>
      <c r="G37" s="7">
        <v>15897.41</v>
      </c>
      <c r="H37" s="7">
        <f t="shared" si="1"/>
        <v>42.734973118279569</v>
      </c>
    </row>
  </sheetData>
  <printOptions horizontalCentered="1"/>
  <pageMargins left="0.31496062992125984" right="0.31496062992125984" top="0.35433070866141736" bottom="0.35433070866141736" header="0.31496062992125984" footer="0.31496062992125984"/>
  <pageSetup scale="68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7C888-887A-42F4-A8D5-E22F276CEED9}">
  <sheetPr>
    <tabColor rgb="FF00B050"/>
    <pageSetUpPr fitToPage="1"/>
  </sheetPr>
  <dimension ref="A1:J157"/>
  <sheetViews>
    <sheetView showGridLines="0" workbookViewId="0">
      <pane xSplit="5" ySplit="1" topLeftCell="F2" activePane="bottomRight" state="frozen"/>
      <selection pane="topRight" activeCell="D1" sqref="D1"/>
      <selection pane="bottomLeft" activeCell="A2" sqref="A2"/>
      <selection pane="bottomRight" activeCell="F1" sqref="F1:J1"/>
    </sheetView>
  </sheetViews>
  <sheetFormatPr baseColWidth="10" defaultRowHeight="14.4" x14ac:dyDescent="0.3"/>
  <cols>
    <col min="2" max="2" width="6.44140625" customWidth="1"/>
    <col min="3" max="4" width="6.21875" customWidth="1"/>
    <col min="5" max="5" width="12" customWidth="1"/>
    <col min="6" max="6" width="17.77734375" bestFit="1" customWidth="1"/>
    <col min="7" max="7" width="19.33203125" bestFit="1" customWidth="1"/>
    <col min="8" max="8" width="19" bestFit="1" customWidth="1"/>
    <col min="9" max="9" width="9.109375" bestFit="1" customWidth="1"/>
    <col min="10" max="10" width="12.33203125" bestFit="1" customWidth="1"/>
  </cols>
  <sheetData>
    <row r="1" spans="1:10" x14ac:dyDescent="0.3">
      <c r="A1" s="2" t="s">
        <v>13</v>
      </c>
      <c r="B1" s="8" t="s">
        <v>18</v>
      </c>
      <c r="C1" s="3" t="s">
        <v>14</v>
      </c>
      <c r="D1" s="5" t="s">
        <v>15</v>
      </c>
      <c r="E1" s="5" t="s">
        <v>16</v>
      </c>
      <c r="F1" t="s">
        <v>24</v>
      </c>
      <c r="G1" t="s">
        <v>25</v>
      </c>
      <c r="H1" t="s">
        <v>26</v>
      </c>
      <c r="I1" t="s">
        <v>27</v>
      </c>
      <c r="J1" t="s">
        <v>30</v>
      </c>
    </row>
    <row r="2" spans="1:10" x14ac:dyDescent="0.3">
      <c r="A2" s="1">
        <v>44927</v>
      </c>
      <c r="B2">
        <v>1</v>
      </c>
      <c r="C2">
        <v>2023</v>
      </c>
      <c r="D2">
        <v>1</v>
      </c>
      <c r="E2" t="s">
        <v>0</v>
      </c>
      <c r="F2" s="7">
        <v>22.071428571428573</v>
      </c>
      <c r="G2" s="7">
        <v>28.571428571428573</v>
      </c>
      <c r="H2" s="7">
        <v>14</v>
      </c>
      <c r="I2" s="7">
        <v>56.857142857142854</v>
      </c>
      <c r="J2" s="7">
        <v>0</v>
      </c>
    </row>
    <row r="3" spans="1:10" x14ac:dyDescent="0.3">
      <c r="A3" s="1">
        <v>44927</v>
      </c>
      <c r="B3">
        <v>2</v>
      </c>
      <c r="C3">
        <v>2023</v>
      </c>
      <c r="D3">
        <v>1</v>
      </c>
      <c r="E3" t="s">
        <v>0</v>
      </c>
      <c r="F3" s="7">
        <v>22.042857142857141</v>
      </c>
      <c r="G3" s="7">
        <v>29.428571428571427</v>
      </c>
      <c r="H3" s="7">
        <v>12.714285714285714</v>
      </c>
      <c r="I3" s="7">
        <v>54.571428571428569</v>
      </c>
      <c r="J3" s="7">
        <v>0</v>
      </c>
    </row>
    <row r="4" spans="1:10" x14ac:dyDescent="0.3">
      <c r="A4" s="1">
        <v>44927</v>
      </c>
      <c r="B4">
        <v>3</v>
      </c>
      <c r="C4">
        <v>2023</v>
      </c>
      <c r="D4">
        <v>1</v>
      </c>
      <c r="E4" t="s">
        <v>0</v>
      </c>
      <c r="F4" s="7">
        <v>19.871428571428574</v>
      </c>
      <c r="G4" s="7">
        <v>25.857142857142858</v>
      </c>
      <c r="H4" s="7">
        <v>12.285714285714286</v>
      </c>
      <c r="I4" s="7">
        <v>59.857142857142854</v>
      </c>
      <c r="J4" s="7">
        <v>0</v>
      </c>
    </row>
    <row r="5" spans="1:10" x14ac:dyDescent="0.3">
      <c r="A5" s="1">
        <v>44927</v>
      </c>
      <c r="B5">
        <v>4</v>
      </c>
      <c r="C5">
        <v>2023</v>
      </c>
      <c r="D5">
        <v>1</v>
      </c>
      <c r="E5" t="s">
        <v>0</v>
      </c>
      <c r="F5" s="7">
        <v>19.528571428571432</v>
      </c>
      <c r="G5" s="7">
        <v>25.714285714285715</v>
      </c>
      <c r="H5" s="7">
        <v>11.285714285714286</v>
      </c>
      <c r="I5" s="7">
        <v>55.428571428571431</v>
      </c>
      <c r="J5" s="7">
        <v>0</v>
      </c>
    </row>
    <row r="6" spans="1:10" x14ac:dyDescent="0.3">
      <c r="A6" s="1">
        <v>44927</v>
      </c>
      <c r="B6">
        <v>5</v>
      </c>
      <c r="C6">
        <v>2023</v>
      </c>
      <c r="D6">
        <v>1</v>
      </c>
      <c r="E6" t="s">
        <v>0</v>
      </c>
      <c r="F6" s="7">
        <v>21.099999999999998</v>
      </c>
      <c r="G6" s="7">
        <v>27.571428571428573</v>
      </c>
      <c r="H6" s="7">
        <v>14</v>
      </c>
      <c r="I6" s="7">
        <v>54</v>
      </c>
      <c r="J6" s="7">
        <v>0</v>
      </c>
    </row>
    <row r="7" spans="1:10" x14ac:dyDescent="0.3">
      <c r="A7" s="1">
        <v>44958</v>
      </c>
      <c r="B7">
        <v>6</v>
      </c>
      <c r="C7">
        <v>2023</v>
      </c>
      <c r="D7">
        <v>2</v>
      </c>
      <c r="E7" t="s">
        <v>2</v>
      </c>
      <c r="F7" s="7">
        <v>20.485714285714288</v>
      </c>
      <c r="G7" s="7">
        <v>28.142857142857142</v>
      </c>
      <c r="H7" s="7">
        <v>10.571428571428571</v>
      </c>
      <c r="I7" s="7">
        <v>50.571428571428569</v>
      </c>
      <c r="J7" s="7">
        <v>0</v>
      </c>
    </row>
    <row r="8" spans="1:10" x14ac:dyDescent="0.3">
      <c r="A8" s="1">
        <v>44958</v>
      </c>
      <c r="B8">
        <v>7</v>
      </c>
      <c r="C8">
        <v>2023</v>
      </c>
      <c r="D8">
        <v>2</v>
      </c>
      <c r="E8" t="s">
        <v>2</v>
      </c>
      <c r="F8" s="7">
        <v>19.185714285714287</v>
      </c>
      <c r="G8" s="7">
        <v>25.428571428571427</v>
      </c>
      <c r="H8" s="7">
        <v>11.142857142857142</v>
      </c>
      <c r="I8" s="7">
        <v>54.428571428571431</v>
      </c>
      <c r="J8" s="7">
        <v>0</v>
      </c>
    </row>
    <row r="9" spans="1:10" x14ac:dyDescent="0.3">
      <c r="A9" s="1">
        <v>44958</v>
      </c>
      <c r="B9">
        <v>8</v>
      </c>
      <c r="C9">
        <v>2023</v>
      </c>
      <c r="D9">
        <v>2</v>
      </c>
      <c r="E9" t="s">
        <v>2</v>
      </c>
      <c r="F9" s="7">
        <v>22.12857142857143</v>
      </c>
      <c r="G9" s="7">
        <v>27.714285714285715</v>
      </c>
      <c r="H9" s="7">
        <v>14.428571428571429</v>
      </c>
      <c r="I9" s="7">
        <v>55.571428571428569</v>
      </c>
      <c r="J9" s="7">
        <v>0</v>
      </c>
    </row>
    <row r="10" spans="1:10" x14ac:dyDescent="0.3">
      <c r="A10" s="1">
        <v>44986</v>
      </c>
      <c r="B10">
        <v>9</v>
      </c>
      <c r="C10">
        <v>2023</v>
      </c>
      <c r="D10">
        <v>3</v>
      </c>
      <c r="E10" t="s">
        <v>3</v>
      </c>
      <c r="F10" s="7">
        <v>20.671428571428571</v>
      </c>
      <c r="G10" s="7">
        <v>27.142857142857142</v>
      </c>
      <c r="H10" s="7">
        <v>11.714285714285714</v>
      </c>
      <c r="I10" s="7">
        <v>51.571428571428569</v>
      </c>
      <c r="J10" s="7">
        <v>0</v>
      </c>
    </row>
    <row r="11" spans="1:10" x14ac:dyDescent="0.3">
      <c r="A11" s="1">
        <v>44986</v>
      </c>
      <c r="B11">
        <v>10</v>
      </c>
      <c r="C11">
        <v>2023</v>
      </c>
      <c r="D11">
        <v>3</v>
      </c>
      <c r="E11" t="s">
        <v>3</v>
      </c>
      <c r="F11" s="7">
        <v>22.000000000000004</v>
      </c>
      <c r="G11" s="7">
        <v>28.857142857142858</v>
      </c>
      <c r="H11" s="7">
        <v>13.285714285714286</v>
      </c>
      <c r="I11" s="7">
        <v>52.142857142857146</v>
      </c>
      <c r="J11" s="7">
        <v>0</v>
      </c>
    </row>
    <row r="12" spans="1:10" x14ac:dyDescent="0.3">
      <c r="A12" s="1">
        <v>44986</v>
      </c>
      <c r="B12">
        <v>11</v>
      </c>
      <c r="C12">
        <v>2023</v>
      </c>
      <c r="D12">
        <v>3</v>
      </c>
      <c r="E12" t="s">
        <v>3</v>
      </c>
      <c r="F12" s="7">
        <v>24.228571428571428</v>
      </c>
      <c r="G12" s="7">
        <v>29.714285714285715</v>
      </c>
      <c r="H12" s="7">
        <v>16.428571428571427</v>
      </c>
      <c r="I12" s="7">
        <v>51.142857142857146</v>
      </c>
      <c r="J12" s="7">
        <v>0</v>
      </c>
    </row>
    <row r="13" spans="1:10" x14ac:dyDescent="0.3">
      <c r="A13" s="1">
        <v>44986</v>
      </c>
      <c r="B13">
        <v>12</v>
      </c>
      <c r="C13">
        <v>2023</v>
      </c>
      <c r="D13">
        <v>3</v>
      </c>
      <c r="E13" t="s">
        <v>3</v>
      </c>
      <c r="F13" s="7">
        <v>23.8</v>
      </c>
      <c r="G13" s="7">
        <v>29.857142857142858</v>
      </c>
      <c r="H13" s="7">
        <v>14.571428571428571</v>
      </c>
      <c r="I13" s="7">
        <v>50.142857142857146</v>
      </c>
      <c r="J13" s="7">
        <v>0</v>
      </c>
    </row>
    <row r="14" spans="1:10" x14ac:dyDescent="0.3">
      <c r="A14" s="1">
        <v>44986</v>
      </c>
      <c r="B14">
        <v>13</v>
      </c>
      <c r="C14">
        <v>2023</v>
      </c>
      <c r="D14">
        <v>3</v>
      </c>
      <c r="E14" t="s">
        <v>3</v>
      </c>
      <c r="F14" s="7">
        <v>23.3</v>
      </c>
      <c r="G14" s="7">
        <v>30.428571428571427</v>
      </c>
      <c r="H14" s="7">
        <v>13.571428571428571</v>
      </c>
      <c r="I14" s="7">
        <v>47.142857142857146</v>
      </c>
      <c r="J14" s="7">
        <v>0</v>
      </c>
    </row>
    <row r="15" spans="1:10" x14ac:dyDescent="0.3">
      <c r="A15" s="1">
        <v>45017</v>
      </c>
      <c r="B15">
        <v>14</v>
      </c>
      <c r="C15">
        <v>2023</v>
      </c>
      <c r="D15">
        <v>4</v>
      </c>
      <c r="E15" t="s">
        <v>4</v>
      </c>
      <c r="F15" s="7">
        <v>23.542857142857144</v>
      </c>
      <c r="G15" s="7">
        <v>30.428571428571427</v>
      </c>
      <c r="H15" s="7">
        <v>13.714285714285714</v>
      </c>
      <c r="I15" s="7">
        <v>44.857142857142854</v>
      </c>
      <c r="J15" s="7">
        <v>0</v>
      </c>
    </row>
    <row r="16" spans="1:10" x14ac:dyDescent="0.3">
      <c r="A16" s="1">
        <v>45017</v>
      </c>
      <c r="B16">
        <v>15</v>
      </c>
      <c r="C16">
        <v>2023</v>
      </c>
      <c r="D16">
        <v>4</v>
      </c>
      <c r="E16" t="s">
        <v>4</v>
      </c>
      <c r="F16" s="7">
        <v>25.38571428571429</v>
      </c>
      <c r="G16" s="7">
        <v>31.428571428571427</v>
      </c>
      <c r="H16" s="7">
        <v>17</v>
      </c>
      <c r="I16" s="7">
        <v>45.428571428571431</v>
      </c>
      <c r="J16" s="7">
        <v>0</v>
      </c>
    </row>
    <row r="17" spans="1:10" x14ac:dyDescent="0.3">
      <c r="A17" s="1">
        <v>45017</v>
      </c>
      <c r="B17">
        <v>16</v>
      </c>
      <c r="C17">
        <v>2023</v>
      </c>
      <c r="D17">
        <v>4</v>
      </c>
      <c r="E17" t="s">
        <v>4</v>
      </c>
      <c r="F17" s="7">
        <v>26.028571428571428</v>
      </c>
      <c r="G17" s="7">
        <v>32.285714285714285</v>
      </c>
      <c r="H17" s="7">
        <v>17.428571428571427</v>
      </c>
      <c r="I17" s="7">
        <v>48.285714285714285</v>
      </c>
      <c r="J17" s="7">
        <v>0</v>
      </c>
    </row>
    <row r="18" spans="1:10" x14ac:dyDescent="0.3">
      <c r="A18" s="1">
        <v>45017</v>
      </c>
      <c r="B18">
        <v>17</v>
      </c>
      <c r="C18">
        <v>2023</v>
      </c>
      <c r="D18">
        <v>4</v>
      </c>
      <c r="E18" t="s">
        <v>4</v>
      </c>
      <c r="F18" s="7">
        <v>26.085714285714285</v>
      </c>
      <c r="G18" s="7">
        <v>31.714285714285715</v>
      </c>
      <c r="H18" s="7">
        <v>17.285714285714285</v>
      </c>
      <c r="I18" s="7">
        <v>51.571428571428569</v>
      </c>
      <c r="J18" s="7">
        <v>0</v>
      </c>
    </row>
    <row r="19" spans="1:10" x14ac:dyDescent="0.3">
      <c r="A19" s="1">
        <v>45047</v>
      </c>
      <c r="B19">
        <v>18</v>
      </c>
      <c r="C19">
        <v>2023</v>
      </c>
      <c r="D19">
        <v>5</v>
      </c>
      <c r="E19" t="s">
        <v>5</v>
      </c>
      <c r="F19" s="7">
        <v>27</v>
      </c>
      <c r="G19" s="7">
        <v>32.857142857142854</v>
      </c>
      <c r="H19" s="7">
        <v>20.142857142857142</v>
      </c>
      <c r="I19" s="7">
        <v>47.571428571428569</v>
      </c>
      <c r="J19" s="7">
        <v>0</v>
      </c>
    </row>
    <row r="20" spans="1:10" x14ac:dyDescent="0.3">
      <c r="A20" s="1">
        <v>45047</v>
      </c>
      <c r="B20">
        <v>19</v>
      </c>
      <c r="C20">
        <v>2023</v>
      </c>
      <c r="D20">
        <v>5</v>
      </c>
      <c r="E20" t="s">
        <v>5</v>
      </c>
      <c r="F20" s="7">
        <v>28.557142857142857</v>
      </c>
      <c r="G20" s="7">
        <v>35.285714285714285</v>
      </c>
      <c r="H20" s="7">
        <v>17.714285714285715</v>
      </c>
      <c r="I20" s="7">
        <v>29</v>
      </c>
      <c r="J20" s="7">
        <v>0</v>
      </c>
    </row>
    <row r="21" spans="1:10" x14ac:dyDescent="0.3">
      <c r="A21" s="1">
        <v>45047</v>
      </c>
      <c r="B21">
        <v>20</v>
      </c>
      <c r="C21">
        <v>2023</v>
      </c>
      <c r="D21">
        <v>5</v>
      </c>
      <c r="E21" t="s">
        <v>5</v>
      </c>
      <c r="F21" s="7">
        <v>27.228571428571428</v>
      </c>
      <c r="G21" s="7">
        <v>31.857142857142858</v>
      </c>
      <c r="H21" s="7">
        <v>20.714285714285715</v>
      </c>
      <c r="I21" s="7">
        <v>54.571428571428569</v>
      </c>
      <c r="J21" s="7">
        <v>0</v>
      </c>
    </row>
    <row r="22" spans="1:10" x14ac:dyDescent="0.3">
      <c r="A22" s="1">
        <v>45047</v>
      </c>
      <c r="B22">
        <v>21</v>
      </c>
      <c r="C22">
        <v>2023</v>
      </c>
      <c r="D22">
        <v>5</v>
      </c>
      <c r="E22" t="s">
        <v>5</v>
      </c>
      <c r="F22" s="7">
        <v>31.8</v>
      </c>
      <c r="G22" s="7">
        <v>38</v>
      </c>
      <c r="H22" s="7">
        <v>22.857142857142858</v>
      </c>
      <c r="I22" s="7">
        <v>28.285714285714285</v>
      </c>
      <c r="J22" s="7">
        <v>0</v>
      </c>
    </row>
    <row r="23" spans="1:10" x14ac:dyDescent="0.3">
      <c r="A23" s="1">
        <v>45047</v>
      </c>
      <c r="B23">
        <v>22</v>
      </c>
      <c r="C23">
        <v>2023</v>
      </c>
      <c r="D23">
        <v>5</v>
      </c>
      <c r="E23" t="s">
        <v>5</v>
      </c>
      <c r="F23" s="7">
        <v>27.828571428571429</v>
      </c>
      <c r="G23" s="7">
        <v>33.514285714285712</v>
      </c>
      <c r="H23" s="7">
        <v>20.74285714285714</v>
      </c>
      <c r="I23" s="7">
        <v>56.142857142857146</v>
      </c>
      <c r="J23" s="7">
        <v>0</v>
      </c>
    </row>
    <row r="24" spans="1:10" x14ac:dyDescent="0.3">
      <c r="A24" s="1">
        <v>45078</v>
      </c>
      <c r="B24">
        <v>23</v>
      </c>
      <c r="C24">
        <v>2023</v>
      </c>
      <c r="D24">
        <v>6</v>
      </c>
      <c r="E24" t="s">
        <v>6</v>
      </c>
      <c r="F24" s="7">
        <v>28.62857142857143</v>
      </c>
      <c r="G24" s="7">
        <v>36.128571428571426</v>
      </c>
      <c r="H24" s="7">
        <v>20.042857142857144</v>
      </c>
      <c r="I24" s="7">
        <v>55.142857142857146</v>
      </c>
      <c r="J24" s="7">
        <v>0</v>
      </c>
    </row>
    <row r="25" spans="1:10" x14ac:dyDescent="0.3">
      <c r="A25" s="1">
        <v>45078</v>
      </c>
      <c r="B25">
        <v>24</v>
      </c>
      <c r="C25">
        <v>2023</v>
      </c>
      <c r="D25">
        <v>6</v>
      </c>
      <c r="E25" t="s">
        <v>6</v>
      </c>
      <c r="F25" s="7">
        <v>31.214285714285715</v>
      </c>
      <c r="G25" s="7">
        <v>38.857142857142854</v>
      </c>
      <c r="H25" s="7">
        <v>22.2</v>
      </c>
      <c r="I25" s="7">
        <v>48.142857142857146</v>
      </c>
      <c r="J25" s="7">
        <v>0</v>
      </c>
    </row>
    <row r="26" spans="1:10" x14ac:dyDescent="0.3">
      <c r="A26" s="1">
        <v>45078</v>
      </c>
      <c r="B26">
        <v>25</v>
      </c>
      <c r="C26">
        <v>2023</v>
      </c>
      <c r="D26">
        <v>6</v>
      </c>
      <c r="E26" t="s">
        <v>6</v>
      </c>
      <c r="F26" s="7">
        <v>31.814285714285713</v>
      </c>
      <c r="G26" s="7">
        <v>38.31428571428571</v>
      </c>
      <c r="H26" s="7">
        <v>23.285714285714285</v>
      </c>
      <c r="I26" s="7">
        <v>50.714285714285715</v>
      </c>
      <c r="J26" s="7">
        <v>0</v>
      </c>
    </row>
    <row r="27" spans="1:10" x14ac:dyDescent="0.3">
      <c r="A27" s="1">
        <v>45078</v>
      </c>
      <c r="B27">
        <v>26</v>
      </c>
      <c r="C27">
        <v>2023</v>
      </c>
      <c r="D27">
        <v>6</v>
      </c>
      <c r="E27" t="s">
        <v>6</v>
      </c>
      <c r="F27" s="7">
        <v>32.042857142857152</v>
      </c>
      <c r="G27" s="7">
        <v>38.157142857142858</v>
      </c>
      <c r="H27" s="7">
        <v>26.114285714285717</v>
      </c>
      <c r="I27" s="7">
        <v>55.285714285714285</v>
      </c>
      <c r="J27" s="7">
        <v>0</v>
      </c>
    </row>
    <row r="28" spans="1:10" x14ac:dyDescent="0.3">
      <c r="A28" s="1">
        <v>45108</v>
      </c>
      <c r="B28">
        <v>27</v>
      </c>
      <c r="C28">
        <v>2023</v>
      </c>
      <c r="D28">
        <v>7</v>
      </c>
      <c r="E28" t="s">
        <v>7</v>
      </c>
      <c r="F28" s="7">
        <v>31.328571428571429</v>
      </c>
      <c r="G28" s="7">
        <v>37.857142857142854</v>
      </c>
      <c r="H28" s="7">
        <v>25.057142857142853</v>
      </c>
      <c r="I28" s="7">
        <v>61.857142857142854</v>
      </c>
      <c r="J28" s="7">
        <v>23.11</v>
      </c>
    </row>
    <row r="29" spans="1:10" x14ac:dyDescent="0.3">
      <c r="A29" s="1">
        <v>45108</v>
      </c>
      <c r="B29">
        <v>28</v>
      </c>
      <c r="C29">
        <v>2023</v>
      </c>
      <c r="D29">
        <v>7</v>
      </c>
      <c r="E29" t="s">
        <v>7</v>
      </c>
      <c r="F29" s="7">
        <v>32.442857142857136</v>
      </c>
      <c r="G29" s="7">
        <v>38.585714285714282</v>
      </c>
      <c r="H29" s="7">
        <v>26.271428571428569</v>
      </c>
      <c r="I29" s="7">
        <v>62.142857142857146</v>
      </c>
      <c r="J29" s="7">
        <v>0</v>
      </c>
    </row>
    <row r="30" spans="1:10" x14ac:dyDescent="0.3">
      <c r="A30" s="1">
        <v>45108</v>
      </c>
      <c r="B30">
        <v>29</v>
      </c>
      <c r="C30">
        <v>2023</v>
      </c>
      <c r="D30">
        <v>7</v>
      </c>
      <c r="E30" t="s">
        <v>7</v>
      </c>
      <c r="F30" s="7">
        <v>33.342857142857142</v>
      </c>
      <c r="G30" s="7">
        <v>38.714285714285715</v>
      </c>
      <c r="H30" s="7">
        <v>28.142857142857142</v>
      </c>
      <c r="I30" s="7">
        <v>56.428571428571431</v>
      </c>
      <c r="J30" s="7">
        <v>0</v>
      </c>
    </row>
    <row r="31" spans="1:10" x14ac:dyDescent="0.3">
      <c r="A31" s="1">
        <v>45108</v>
      </c>
      <c r="B31">
        <v>30</v>
      </c>
      <c r="C31">
        <v>2023</v>
      </c>
      <c r="D31">
        <v>7</v>
      </c>
      <c r="E31" t="s">
        <v>7</v>
      </c>
      <c r="F31" s="7">
        <v>31.528571428571421</v>
      </c>
      <c r="G31" s="7">
        <v>36.542857142857144</v>
      </c>
      <c r="H31" s="7">
        <v>25.228571428571428</v>
      </c>
      <c r="I31" s="7">
        <v>63.857142857142854</v>
      </c>
      <c r="J31" s="7">
        <v>34.54</v>
      </c>
    </row>
    <row r="32" spans="1:10" x14ac:dyDescent="0.3">
      <c r="A32" s="1">
        <v>45139</v>
      </c>
      <c r="B32">
        <v>31</v>
      </c>
      <c r="C32">
        <v>2023</v>
      </c>
      <c r="D32">
        <v>8</v>
      </c>
      <c r="E32" t="s">
        <v>8</v>
      </c>
      <c r="F32" s="7">
        <v>32.542857142857137</v>
      </c>
      <c r="G32" s="7">
        <v>38.628571428571426</v>
      </c>
      <c r="H32" s="7">
        <v>26.2</v>
      </c>
      <c r="I32" s="7">
        <v>59.428571428571431</v>
      </c>
      <c r="J32" s="7">
        <v>0</v>
      </c>
    </row>
    <row r="33" spans="1:10" x14ac:dyDescent="0.3">
      <c r="A33" s="1">
        <v>45139</v>
      </c>
      <c r="B33">
        <v>32</v>
      </c>
      <c r="C33">
        <v>2023</v>
      </c>
      <c r="D33">
        <v>8</v>
      </c>
      <c r="E33" t="s">
        <v>8</v>
      </c>
      <c r="F33" s="7">
        <v>31.928571428571423</v>
      </c>
      <c r="G33" s="7">
        <v>37.028571428571425</v>
      </c>
      <c r="H33" s="7">
        <v>26.685714285714287</v>
      </c>
      <c r="I33" s="7">
        <v>62.571428571428569</v>
      </c>
      <c r="J33" s="7">
        <v>1.52</v>
      </c>
    </row>
    <row r="34" spans="1:10" x14ac:dyDescent="0.3">
      <c r="A34" s="1">
        <v>45139</v>
      </c>
      <c r="B34">
        <v>33</v>
      </c>
      <c r="C34">
        <v>2023</v>
      </c>
      <c r="D34">
        <v>8</v>
      </c>
      <c r="E34" t="s">
        <v>8</v>
      </c>
      <c r="F34" s="7">
        <v>31.642857142857142</v>
      </c>
      <c r="G34" s="7">
        <v>36.485714285714288</v>
      </c>
      <c r="H34" s="7">
        <v>25.942857142857143</v>
      </c>
      <c r="I34" s="7">
        <v>63.142857142857146</v>
      </c>
      <c r="J34" s="7">
        <v>23.11</v>
      </c>
    </row>
    <row r="35" spans="1:10" x14ac:dyDescent="0.3">
      <c r="A35" s="1">
        <v>45139</v>
      </c>
      <c r="B35">
        <v>34</v>
      </c>
      <c r="C35">
        <v>2023</v>
      </c>
      <c r="D35">
        <v>8</v>
      </c>
      <c r="E35" t="s">
        <v>8</v>
      </c>
      <c r="F35" s="7">
        <v>30.914285714285711</v>
      </c>
      <c r="G35" s="7">
        <v>36.914285714285718</v>
      </c>
      <c r="H35" s="7">
        <v>24.74285714285714</v>
      </c>
      <c r="I35" s="7">
        <v>66</v>
      </c>
      <c r="J35" s="7">
        <v>0</v>
      </c>
    </row>
    <row r="36" spans="1:10" x14ac:dyDescent="0.3">
      <c r="A36" s="1">
        <v>45139</v>
      </c>
      <c r="B36">
        <v>35</v>
      </c>
      <c r="C36">
        <v>2023</v>
      </c>
      <c r="D36">
        <v>8</v>
      </c>
      <c r="E36" t="s">
        <v>8</v>
      </c>
      <c r="F36" s="7">
        <v>30.87142857142857</v>
      </c>
      <c r="G36" s="7">
        <v>36.642857142857146</v>
      </c>
      <c r="H36" s="7">
        <v>25.714285714285715</v>
      </c>
      <c r="I36" s="7">
        <v>68.714285714285708</v>
      </c>
      <c r="J36" s="7">
        <v>0</v>
      </c>
    </row>
    <row r="37" spans="1:10" x14ac:dyDescent="0.3">
      <c r="A37" s="1">
        <v>45170</v>
      </c>
      <c r="B37">
        <v>36</v>
      </c>
      <c r="C37">
        <v>2023</v>
      </c>
      <c r="D37">
        <v>9</v>
      </c>
      <c r="E37" t="s">
        <v>9</v>
      </c>
      <c r="F37" s="7">
        <v>32.057142857142864</v>
      </c>
      <c r="G37" s="7">
        <v>37.957142857142863</v>
      </c>
      <c r="H37" s="7">
        <v>26.25714285714286</v>
      </c>
      <c r="I37" s="7">
        <v>65.142857142857139</v>
      </c>
      <c r="J37" s="7">
        <v>0</v>
      </c>
    </row>
    <row r="38" spans="1:10" x14ac:dyDescent="0.3">
      <c r="A38" s="1">
        <v>45170</v>
      </c>
      <c r="B38">
        <v>37</v>
      </c>
      <c r="C38">
        <v>2023</v>
      </c>
      <c r="D38">
        <v>9</v>
      </c>
      <c r="E38" t="s">
        <v>9</v>
      </c>
      <c r="F38" s="7">
        <v>32.657142857142858</v>
      </c>
      <c r="G38" s="7">
        <v>39.085714285714289</v>
      </c>
      <c r="H38" s="7">
        <v>26.085714285714285</v>
      </c>
      <c r="I38" s="7">
        <v>61.571428571428569</v>
      </c>
      <c r="J38" s="7">
        <v>0</v>
      </c>
    </row>
    <row r="39" spans="1:10" x14ac:dyDescent="0.3">
      <c r="A39" s="1">
        <v>45170</v>
      </c>
      <c r="B39">
        <v>38</v>
      </c>
      <c r="C39">
        <v>2023</v>
      </c>
      <c r="D39">
        <v>9</v>
      </c>
      <c r="E39" t="s">
        <v>9</v>
      </c>
      <c r="F39" s="7">
        <v>31.942857142857147</v>
      </c>
      <c r="G39" s="7">
        <v>38.057142857142857</v>
      </c>
      <c r="H39" s="7">
        <v>25.685714285714287</v>
      </c>
      <c r="I39" s="7">
        <v>63.857142857142854</v>
      </c>
      <c r="J39" s="7">
        <v>0</v>
      </c>
    </row>
    <row r="40" spans="1:10" x14ac:dyDescent="0.3">
      <c r="A40" s="1">
        <v>45170</v>
      </c>
      <c r="B40">
        <v>39</v>
      </c>
      <c r="C40">
        <v>2023</v>
      </c>
      <c r="D40">
        <v>9</v>
      </c>
      <c r="E40" t="s">
        <v>9</v>
      </c>
      <c r="F40" s="7">
        <v>33.085714285714289</v>
      </c>
      <c r="G40" s="7">
        <v>38.31428571428571</v>
      </c>
      <c r="H40" s="7">
        <v>26.8</v>
      </c>
      <c r="I40" s="7">
        <v>61.428571428571431</v>
      </c>
      <c r="J40" s="7">
        <v>0</v>
      </c>
    </row>
    <row r="41" spans="1:10" x14ac:dyDescent="0.3">
      <c r="A41" s="1">
        <v>45200</v>
      </c>
      <c r="B41">
        <v>40</v>
      </c>
      <c r="C41">
        <v>2023</v>
      </c>
      <c r="D41">
        <v>10</v>
      </c>
      <c r="E41" t="s">
        <v>10</v>
      </c>
      <c r="F41" s="7">
        <v>30.871428571428574</v>
      </c>
      <c r="G41" s="7">
        <v>36.800000000000004</v>
      </c>
      <c r="H41" s="7">
        <v>25.857142857142858</v>
      </c>
      <c r="I41" s="7">
        <v>63.142857142857146</v>
      </c>
      <c r="J41" s="7">
        <v>100.08</v>
      </c>
    </row>
    <row r="42" spans="1:10" x14ac:dyDescent="0.3">
      <c r="A42" s="1">
        <v>45200</v>
      </c>
      <c r="B42">
        <v>41</v>
      </c>
      <c r="C42">
        <v>2023</v>
      </c>
      <c r="D42">
        <v>10</v>
      </c>
      <c r="E42" t="s">
        <v>10</v>
      </c>
      <c r="F42" s="7">
        <v>28.214285714285715</v>
      </c>
      <c r="G42" s="7">
        <v>33.342857142857142</v>
      </c>
      <c r="H42" s="7">
        <v>23.685714285714287</v>
      </c>
      <c r="I42" s="7">
        <v>69.714285714285708</v>
      </c>
      <c r="J42" s="7">
        <v>118.11</v>
      </c>
    </row>
    <row r="43" spans="1:10" x14ac:dyDescent="0.3">
      <c r="A43" s="1">
        <v>45200</v>
      </c>
      <c r="B43">
        <v>42</v>
      </c>
      <c r="C43">
        <v>2023</v>
      </c>
      <c r="D43">
        <v>10</v>
      </c>
      <c r="E43" t="s">
        <v>10</v>
      </c>
      <c r="F43" s="7">
        <v>30.657142857142862</v>
      </c>
      <c r="G43" s="7">
        <v>36.514285714285712</v>
      </c>
      <c r="H43" s="7">
        <v>25.085714285714285</v>
      </c>
      <c r="I43" s="7">
        <v>68.428571428571431</v>
      </c>
      <c r="J43" s="7">
        <v>5.08</v>
      </c>
    </row>
    <row r="44" spans="1:10" x14ac:dyDescent="0.3">
      <c r="A44" s="1">
        <v>45200</v>
      </c>
      <c r="B44">
        <v>43</v>
      </c>
      <c r="C44">
        <v>2023</v>
      </c>
      <c r="D44">
        <v>10</v>
      </c>
      <c r="E44" t="s">
        <v>10</v>
      </c>
      <c r="F44" s="7">
        <v>25.7</v>
      </c>
      <c r="G44" s="7">
        <v>30.87142857142857</v>
      </c>
      <c r="H44" s="7">
        <v>20.885714285714283</v>
      </c>
      <c r="I44" s="7">
        <v>73.714285714285708</v>
      </c>
      <c r="J44" s="7">
        <v>255.53</v>
      </c>
    </row>
    <row r="45" spans="1:10" x14ac:dyDescent="0.3">
      <c r="A45" s="1">
        <v>45231</v>
      </c>
      <c r="B45">
        <v>44</v>
      </c>
      <c r="C45">
        <v>2023</v>
      </c>
      <c r="D45">
        <v>11</v>
      </c>
      <c r="E45" t="s">
        <v>11</v>
      </c>
      <c r="F45" s="7">
        <v>28.1</v>
      </c>
      <c r="G45" s="7">
        <v>34.628571428571426</v>
      </c>
      <c r="H45" s="7">
        <v>20.571428571428573</v>
      </c>
      <c r="I45" s="7">
        <v>58.428571428571431</v>
      </c>
      <c r="J45" s="7">
        <v>0</v>
      </c>
    </row>
    <row r="46" spans="1:10" x14ac:dyDescent="0.3">
      <c r="A46" s="1">
        <v>45231</v>
      </c>
      <c r="B46">
        <v>45</v>
      </c>
      <c r="C46">
        <v>2023</v>
      </c>
      <c r="D46">
        <v>11</v>
      </c>
      <c r="E46" t="s">
        <v>11</v>
      </c>
      <c r="F46" s="7">
        <v>27.428571428571427</v>
      </c>
      <c r="G46" s="7">
        <v>33.6</v>
      </c>
      <c r="H46" s="7">
        <v>21.314285714285717</v>
      </c>
      <c r="I46" s="7">
        <v>66.428571428571431</v>
      </c>
      <c r="J46" s="7">
        <v>0</v>
      </c>
    </row>
    <row r="47" spans="1:10" x14ac:dyDescent="0.3">
      <c r="A47" s="1">
        <v>45231</v>
      </c>
      <c r="B47">
        <v>46</v>
      </c>
      <c r="C47">
        <v>2023</v>
      </c>
      <c r="D47">
        <v>11</v>
      </c>
      <c r="E47" t="s">
        <v>11</v>
      </c>
      <c r="F47" s="7">
        <v>27.74285714285714</v>
      </c>
      <c r="G47" s="7">
        <v>35.299999999999997</v>
      </c>
      <c r="H47" s="7">
        <v>19.342857142857145</v>
      </c>
      <c r="I47" s="7">
        <v>55.142857142857146</v>
      </c>
      <c r="J47" s="7">
        <v>0</v>
      </c>
    </row>
    <row r="48" spans="1:10" x14ac:dyDescent="0.3">
      <c r="A48" s="1">
        <v>45231</v>
      </c>
      <c r="B48">
        <v>47</v>
      </c>
      <c r="C48">
        <v>2023</v>
      </c>
      <c r="D48">
        <v>11</v>
      </c>
      <c r="E48" t="s">
        <v>11</v>
      </c>
      <c r="F48" s="7">
        <v>25.6</v>
      </c>
      <c r="G48" s="7">
        <v>32.5</v>
      </c>
      <c r="H48" s="7">
        <v>17.285714285714285</v>
      </c>
      <c r="I48" s="7">
        <v>50.857142857142854</v>
      </c>
      <c r="J48" s="7">
        <v>0</v>
      </c>
    </row>
    <row r="49" spans="1:10" x14ac:dyDescent="0.3">
      <c r="A49" s="1">
        <v>45231</v>
      </c>
      <c r="B49">
        <v>48</v>
      </c>
      <c r="C49">
        <v>2023</v>
      </c>
      <c r="D49">
        <v>11</v>
      </c>
      <c r="E49" t="s">
        <v>11</v>
      </c>
      <c r="F49" s="7">
        <v>24.300000000000004</v>
      </c>
      <c r="G49" s="7">
        <v>32.200000000000003</v>
      </c>
      <c r="H49" s="7">
        <v>15.657142857142857</v>
      </c>
      <c r="I49" s="7">
        <v>52</v>
      </c>
      <c r="J49" s="7">
        <v>0</v>
      </c>
    </row>
    <row r="50" spans="1:10" x14ac:dyDescent="0.3">
      <c r="A50" s="1">
        <v>45261</v>
      </c>
      <c r="B50">
        <v>49</v>
      </c>
      <c r="C50">
        <v>2023</v>
      </c>
      <c r="D50">
        <v>12</v>
      </c>
      <c r="E50" t="s">
        <v>1</v>
      </c>
      <c r="F50" s="7">
        <v>24.75714285714286</v>
      </c>
      <c r="G50" s="7">
        <v>33.485714285714288</v>
      </c>
      <c r="H50" s="7">
        <v>12.942857142857145</v>
      </c>
      <c r="I50" s="7">
        <v>45.571428571428569</v>
      </c>
      <c r="J50" s="7">
        <v>0</v>
      </c>
    </row>
    <row r="51" spans="1:10" x14ac:dyDescent="0.3">
      <c r="A51" s="1">
        <v>45261</v>
      </c>
      <c r="B51">
        <v>50</v>
      </c>
      <c r="C51">
        <v>2023</v>
      </c>
      <c r="D51">
        <v>12</v>
      </c>
      <c r="E51" t="s">
        <v>1</v>
      </c>
      <c r="F51" s="7">
        <v>24.157142857142862</v>
      </c>
      <c r="G51" s="7">
        <v>33.242857142857147</v>
      </c>
      <c r="H51" s="7">
        <v>13.085714285714287</v>
      </c>
      <c r="I51" s="7">
        <v>48.142857142857146</v>
      </c>
      <c r="J51" s="7">
        <v>0</v>
      </c>
    </row>
    <row r="52" spans="1:10" x14ac:dyDescent="0.3">
      <c r="A52" s="1">
        <v>45261</v>
      </c>
      <c r="B52">
        <v>51</v>
      </c>
      <c r="C52">
        <v>2023</v>
      </c>
      <c r="D52">
        <v>12</v>
      </c>
      <c r="E52" t="s">
        <v>1</v>
      </c>
      <c r="F52" s="7">
        <v>24.785714285714285</v>
      </c>
      <c r="G52" s="7">
        <v>32.442857142857143</v>
      </c>
      <c r="H52" s="7">
        <v>16.014285714285716</v>
      </c>
      <c r="I52" s="7">
        <v>58</v>
      </c>
      <c r="J52" s="7">
        <v>0</v>
      </c>
    </row>
    <row r="53" spans="1:10" x14ac:dyDescent="0.3">
      <c r="A53" s="1">
        <v>45261</v>
      </c>
      <c r="B53">
        <v>52</v>
      </c>
      <c r="C53">
        <v>2023</v>
      </c>
      <c r="D53">
        <v>12</v>
      </c>
      <c r="E53" t="s">
        <v>1</v>
      </c>
      <c r="F53" s="7">
        <v>20.957142857142856</v>
      </c>
      <c r="G53" s="7">
        <v>28.37142857142857</v>
      </c>
      <c r="H53" s="7">
        <v>12.857142857142858</v>
      </c>
      <c r="I53" s="7">
        <v>54.428571428571431</v>
      </c>
      <c r="J53" s="7">
        <v>0</v>
      </c>
    </row>
    <row r="54" spans="1:10" x14ac:dyDescent="0.3">
      <c r="A54" s="1">
        <v>45292</v>
      </c>
      <c r="B54">
        <v>1</v>
      </c>
      <c r="C54">
        <v>2024</v>
      </c>
      <c r="D54">
        <v>1</v>
      </c>
      <c r="E54" t="s">
        <v>0</v>
      </c>
      <c r="F54" s="7">
        <v>20.650000000000002</v>
      </c>
      <c r="G54" s="7">
        <v>28.216666666666669</v>
      </c>
      <c r="H54" s="7">
        <v>12.033333333333333</v>
      </c>
      <c r="I54" s="7">
        <v>52.666666666666664</v>
      </c>
      <c r="J54" s="7">
        <v>0</v>
      </c>
    </row>
    <row r="55" spans="1:10" x14ac:dyDescent="0.3">
      <c r="A55" s="1">
        <v>45292</v>
      </c>
      <c r="B55">
        <v>2</v>
      </c>
      <c r="C55">
        <v>2024</v>
      </c>
      <c r="D55">
        <v>1</v>
      </c>
      <c r="E55" t="s">
        <v>0</v>
      </c>
      <c r="F55" s="7">
        <v>19.285714285714285</v>
      </c>
      <c r="G55" s="7">
        <v>27.528571428571432</v>
      </c>
      <c r="H55" s="7">
        <v>9.6</v>
      </c>
      <c r="I55" s="7">
        <v>55.142857142857146</v>
      </c>
      <c r="J55" s="7">
        <v>0</v>
      </c>
    </row>
    <row r="56" spans="1:10" x14ac:dyDescent="0.3">
      <c r="A56" s="1">
        <v>45292</v>
      </c>
      <c r="B56">
        <v>3</v>
      </c>
      <c r="C56">
        <v>2024</v>
      </c>
      <c r="D56">
        <v>1</v>
      </c>
      <c r="E56" t="s">
        <v>0</v>
      </c>
      <c r="F56" s="7">
        <v>22.12857142857143</v>
      </c>
      <c r="G56" s="7">
        <v>30.842857142857138</v>
      </c>
      <c r="H56" s="7">
        <v>10.042857142857143</v>
      </c>
      <c r="I56" s="7">
        <v>47.142857142857146</v>
      </c>
      <c r="J56" s="7">
        <v>0</v>
      </c>
    </row>
    <row r="57" spans="1:10" x14ac:dyDescent="0.3">
      <c r="A57" s="1">
        <v>45292</v>
      </c>
      <c r="B57">
        <v>4</v>
      </c>
      <c r="C57">
        <v>2024</v>
      </c>
      <c r="D57">
        <v>1</v>
      </c>
      <c r="E57" t="s">
        <v>0</v>
      </c>
      <c r="F57" s="7">
        <v>21.771428571428569</v>
      </c>
      <c r="G57" s="7">
        <v>30.11428571428571</v>
      </c>
      <c r="H57" s="7">
        <v>13.714285714285714</v>
      </c>
      <c r="I57" s="7">
        <v>65.571428571428569</v>
      </c>
      <c r="J57" s="7">
        <v>0</v>
      </c>
    </row>
    <row r="58" spans="1:10" x14ac:dyDescent="0.3">
      <c r="A58" s="1">
        <v>45323</v>
      </c>
      <c r="B58">
        <v>5</v>
      </c>
      <c r="C58">
        <v>2024</v>
      </c>
      <c r="D58">
        <v>2</v>
      </c>
      <c r="E58" t="s">
        <v>2</v>
      </c>
      <c r="F58" s="7">
        <v>23.642857142857142</v>
      </c>
      <c r="G58" s="7">
        <v>32.171428571428571</v>
      </c>
      <c r="H58" s="7">
        <v>13.357142857142858</v>
      </c>
      <c r="I58" s="7">
        <v>53.285714285714285</v>
      </c>
      <c r="J58" s="7">
        <v>0</v>
      </c>
    </row>
    <row r="59" spans="1:10" x14ac:dyDescent="0.3">
      <c r="A59" s="1">
        <v>45323</v>
      </c>
      <c r="B59">
        <v>6</v>
      </c>
      <c r="C59">
        <v>2024</v>
      </c>
      <c r="D59">
        <v>2</v>
      </c>
      <c r="E59" t="s">
        <v>2</v>
      </c>
      <c r="F59" s="7">
        <v>20.585714285714285</v>
      </c>
      <c r="G59" s="7">
        <v>29.842857142857145</v>
      </c>
      <c r="H59" s="7">
        <v>11.4</v>
      </c>
      <c r="I59" s="7">
        <v>58.571428571428569</v>
      </c>
      <c r="J59" s="7">
        <v>0</v>
      </c>
    </row>
    <row r="60" spans="1:10" x14ac:dyDescent="0.3">
      <c r="A60" s="1">
        <v>45323</v>
      </c>
      <c r="B60">
        <v>7</v>
      </c>
      <c r="C60">
        <v>2024</v>
      </c>
      <c r="D60">
        <v>2</v>
      </c>
      <c r="E60" t="s">
        <v>2</v>
      </c>
      <c r="F60" s="7">
        <v>19.485714285714288</v>
      </c>
      <c r="G60" s="7">
        <v>28.1</v>
      </c>
      <c r="H60" s="7">
        <v>10</v>
      </c>
      <c r="I60" s="7">
        <v>59.142857142857146</v>
      </c>
      <c r="J60" s="7">
        <v>0</v>
      </c>
    </row>
    <row r="61" spans="1:10" x14ac:dyDescent="0.3">
      <c r="A61" s="1">
        <v>45323</v>
      </c>
      <c r="B61">
        <v>8</v>
      </c>
      <c r="C61">
        <v>2024</v>
      </c>
      <c r="D61">
        <v>2</v>
      </c>
      <c r="E61" t="s">
        <v>2</v>
      </c>
      <c r="F61" s="7">
        <v>23.771428571428572</v>
      </c>
      <c r="G61" s="7">
        <v>32.31428571428571</v>
      </c>
      <c r="H61" s="7">
        <v>12.314285714285715</v>
      </c>
      <c r="I61" s="7">
        <v>50.428571428571431</v>
      </c>
      <c r="J61" s="7">
        <v>0</v>
      </c>
    </row>
    <row r="62" spans="1:10" x14ac:dyDescent="0.3">
      <c r="A62" s="1">
        <v>45352</v>
      </c>
      <c r="B62">
        <v>9</v>
      </c>
      <c r="C62">
        <v>2024</v>
      </c>
      <c r="D62">
        <v>3</v>
      </c>
      <c r="E62" t="s">
        <v>3</v>
      </c>
      <c r="F62" s="7">
        <v>23.114285714285717</v>
      </c>
      <c r="G62" s="7">
        <v>32.414285714285718</v>
      </c>
      <c r="H62" s="7">
        <v>12.428571428571429</v>
      </c>
      <c r="I62" s="7">
        <v>53.857142857142854</v>
      </c>
      <c r="J62" s="7">
        <v>0</v>
      </c>
    </row>
    <row r="63" spans="1:10" x14ac:dyDescent="0.3">
      <c r="A63" s="1">
        <v>45352</v>
      </c>
      <c r="B63">
        <v>10</v>
      </c>
      <c r="C63">
        <v>2024</v>
      </c>
      <c r="D63">
        <v>3</v>
      </c>
      <c r="E63" t="s">
        <v>3</v>
      </c>
      <c r="F63" s="7">
        <v>22.228571428571428</v>
      </c>
      <c r="G63" s="7">
        <v>30.714285714285715</v>
      </c>
      <c r="H63" s="7">
        <v>10.785714285714286</v>
      </c>
      <c r="I63" s="7">
        <v>43.857142857142854</v>
      </c>
      <c r="J63" s="7">
        <v>0</v>
      </c>
    </row>
    <row r="64" spans="1:10" x14ac:dyDescent="0.3">
      <c r="A64" s="1">
        <v>45352</v>
      </c>
      <c r="B64">
        <v>11</v>
      </c>
      <c r="C64">
        <v>2024</v>
      </c>
      <c r="D64">
        <v>3</v>
      </c>
      <c r="E64" t="s">
        <v>3</v>
      </c>
      <c r="F64" s="7">
        <v>23.099999999999998</v>
      </c>
      <c r="G64" s="7">
        <v>32.757142857142853</v>
      </c>
      <c r="H64" s="7">
        <v>12.614285714285714</v>
      </c>
      <c r="I64" s="7">
        <v>48.857142857142854</v>
      </c>
      <c r="J64" s="7">
        <v>0</v>
      </c>
    </row>
    <row r="65" spans="1:10" x14ac:dyDescent="0.3">
      <c r="A65" s="1">
        <v>45352</v>
      </c>
      <c r="B65">
        <v>12</v>
      </c>
      <c r="C65">
        <v>2024</v>
      </c>
      <c r="D65">
        <v>3</v>
      </c>
      <c r="E65" t="s">
        <v>3</v>
      </c>
      <c r="F65" s="7">
        <v>24.44285714285714</v>
      </c>
      <c r="G65" s="7">
        <v>32.357142857142854</v>
      </c>
      <c r="H65" s="7">
        <v>14.085714285714285</v>
      </c>
      <c r="I65" s="7">
        <v>43.285714285714285</v>
      </c>
      <c r="J65" s="7">
        <v>0</v>
      </c>
    </row>
    <row r="66" spans="1:10" x14ac:dyDescent="0.3">
      <c r="A66" s="1">
        <v>45352</v>
      </c>
      <c r="B66">
        <v>13</v>
      </c>
      <c r="C66">
        <v>2024</v>
      </c>
      <c r="D66">
        <v>3</v>
      </c>
      <c r="E66" t="s">
        <v>3</v>
      </c>
      <c r="F66" s="7">
        <v>20.25</v>
      </c>
      <c r="G66" s="7">
        <v>27.25</v>
      </c>
      <c r="H66" s="7">
        <v>13.5</v>
      </c>
      <c r="I66" s="7">
        <v>50.5</v>
      </c>
      <c r="J66" s="7">
        <v>0</v>
      </c>
    </row>
    <row r="67" spans="1:10" x14ac:dyDescent="0.3">
      <c r="A67" s="1">
        <v>45383</v>
      </c>
      <c r="B67">
        <v>14</v>
      </c>
      <c r="C67">
        <v>2024</v>
      </c>
      <c r="D67">
        <v>4</v>
      </c>
      <c r="E67" t="s">
        <v>4</v>
      </c>
      <c r="F67" s="7">
        <v>23.133333333333336</v>
      </c>
      <c r="G67" s="7">
        <v>30.049999999999997</v>
      </c>
      <c r="H67" s="7">
        <v>14.200000000000001</v>
      </c>
      <c r="I67" s="7">
        <v>46.333333333333336</v>
      </c>
      <c r="J67" s="7">
        <v>0</v>
      </c>
    </row>
    <row r="68" spans="1:10" x14ac:dyDescent="0.3">
      <c r="A68" s="1">
        <v>45383</v>
      </c>
      <c r="B68">
        <v>15</v>
      </c>
      <c r="C68">
        <v>2024</v>
      </c>
      <c r="D68">
        <v>4</v>
      </c>
      <c r="E68" t="s">
        <v>4</v>
      </c>
      <c r="F68" s="7">
        <v>24.557142857142857</v>
      </c>
      <c r="G68" s="7">
        <v>32.285714285714285</v>
      </c>
      <c r="H68" s="7">
        <v>14.428571428571429</v>
      </c>
      <c r="I68" s="7">
        <v>43.428571428571431</v>
      </c>
      <c r="J68" s="7">
        <v>0</v>
      </c>
    </row>
    <row r="69" spans="1:10" x14ac:dyDescent="0.3">
      <c r="A69" s="1">
        <v>45383</v>
      </c>
      <c r="B69">
        <v>16</v>
      </c>
      <c r="C69">
        <v>2024</v>
      </c>
      <c r="D69">
        <v>4</v>
      </c>
      <c r="E69" t="s">
        <v>4</v>
      </c>
      <c r="F69" s="7">
        <v>27.542857142857144</v>
      </c>
      <c r="G69" s="7">
        <v>36.914285714285718</v>
      </c>
      <c r="H69" s="7">
        <v>15.77142857142857</v>
      </c>
      <c r="I69" s="7">
        <v>36.714285714285715</v>
      </c>
      <c r="J69" s="7">
        <v>0</v>
      </c>
    </row>
    <row r="70" spans="1:10" x14ac:dyDescent="0.3">
      <c r="A70" s="1">
        <v>45383</v>
      </c>
      <c r="B70">
        <v>17</v>
      </c>
      <c r="C70">
        <v>2024</v>
      </c>
      <c r="D70">
        <v>4</v>
      </c>
      <c r="E70" t="s">
        <v>4</v>
      </c>
      <c r="F70" s="7">
        <v>28.485714285714288</v>
      </c>
      <c r="G70" s="7">
        <v>37.171428571428578</v>
      </c>
      <c r="H70" s="7">
        <v>15.457142857142857</v>
      </c>
      <c r="I70" s="7">
        <v>31.571428571428573</v>
      </c>
      <c r="J70" s="7">
        <v>0</v>
      </c>
    </row>
    <row r="71" spans="1:10" x14ac:dyDescent="0.3">
      <c r="A71" s="1">
        <v>45413</v>
      </c>
      <c r="B71">
        <v>18</v>
      </c>
      <c r="C71">
        <v>2024</v>
      </c>
      <c r="D71">
        <v>5</v>
      </c>
      <c r="E71" t="s">
        <v>5</v>
      </c>
      <c r="F71" s="7">
        <v>26.600000000000005</v>
      </c>
      <c r="G71" s="7">
        <v>35.249999999999993</v>
      </c>
      <c r="H71" s="7">
        <v>15.566666666666668</v>
      </c>
      <c r="I71" s="7">
        <v>39.666666666666664</v>
      </c>
      <c r="J71" s="7">
        <v>0</v>
      </c>
    </row>
    <row r="72" spans="1:10" x14ac:dyDescent="0.3">
      <c r="A72" s="1">
        <v>45413</v>
      </c>
      <c r="B72">
        <v>19</v>
      </c>
      <c r="C72">
        <v>2024</v>
      </c>
      <c r="D72">
        <v>5</v>
      </c>
      <c r="E72" t="s">
        <v>5</v>
      </c>
      <c r="F72" s="7">
        <v>29.11428571428571</v>
      </c>
      <c r="G72" s="7">
        <v>38.542857142857144</v>
      </c>
      <c r="H72" s="7">
        <v>18.214285714285715</v>
      </c>
      <c r="I72" s="7">
        <v>33.285714285714285</v>
      </c>
      <c r="J72" s="7">
        <v>0</v>
      </c>
    </row>
    <row r="73" spans="1:10" x14ac:dyDescent="0.3">
      <c r="A73" s="1">
        <v>45413</v>
      </c>
      <c r="B73">
        <v>20</v>
      </c>
      <c r="C73">
        <v>2024</v>
      </c>
      <c r="D73">
        <v>5</v>
      </c>
      <c r="E73" t="s">
        <v>5</v>
      </c>
      <c r="F73" s="7">
        <v>29.271428571428576</v>
      </c>
      <c r="G73" s="7">
        <v>36.342857142857149</v>
      </c>
      <c r="H73" s="7">
        <v>18.957142857142856</v>
      </c>
      <c r="I73" s="7">
        <v>34.571428571428569</v>
      </c>
      <c r="J73" s="7">
        <v>0</v>
      </c>
    </row>
    <row r="74" spans="1:10" x14ac:dyDescent="0.3">
      <c r="A74" s="1">
        <v>45413</v>
      </c>
      <c r="B74">
        <v>21</v>
      </c>
      <c r="C74">
        <v>2024</v>
      </c>
      <c r="D74">
        <v>5</v>
      </c>
      <c r="E74" t="s">
        <v>5</v>
      </c>
      <c r="F74" s="7">
        <v>30.514285714285716</v>
      </c>
      <c r="G74" s="7">
        <v>38.25714285714286</v>
      </c>
      <c r="H74" s="7">
        <v>20.900000000000002</v>
      </c>
      <c r="I74" s="7">
        <v>41.285714285714285</v>
      </c>
      <c r="J74" s="7">
        <v>0</v>
      </c>
    </row>
    <row r="75" spans="1:10" x14ac:dyDescent="0.3">
      <c r="A75" s="1">
        <v>45413</v>
      </c>
      <c r="B75">
        <v>22</v>
      </c>
      <c r="C75">
        <v>2024</v>
      </c>
      <c r="D75">
        <v>5</v>
      </c>
      <c r="E75" t="s">
        <v>5</v>
      </c>
      <c r="F75" s="7">
        <v>31.485714285714288</v>
      </c>
      <c r="G75" s="7">
        <v>38.071428571428569</v>
      </c>
      <c r="H75" s="7">
        <v>22.457142857142859</v>
      </c>
      <c r="I75" s="7">
        <v>49.571428571428569</v>
      </c>
      <c r="J75" s="7">
        <v>0</v>
      </c>
    </row>
    <row r="76" spans="1:10" x14ac:dyDescent="0.3">
      <c r="A76" s="1">
        <v>45444</v>
      </c>
      <c r="B76">
        <v>23</v>
      </c>
      <c r="C76">
        <v>2024</v>
      </c>
      <c r="D76">
        <v>6</v>
      </c>
      <c r="E76" t="s">
        <v>6</v>
      </c>
      <c r="F76" s="7">
        <v>29.671428571428571</v>
      </c>
      <c r="G76" s="7">
        <v>36.942857142857136</v>
      </c>
      <c r="H76" s="7">
        <v>22.828571428571426</v>
      </c>
      <c r="I76" s="7">
        <v>59</v>
      </c>
      <c r="J76" s="7">
        <v>0</v>
      </c>
    </row>
    <row r="77" spans="1:10" x14ac:dyDescent="0.3">
      <c r="A77" s="1">
        <v>45444</v>
      </c>
      <c r="B77">
        <v>24</v>
      </c>
      <c r="C77">
        <v>2024</v>
      </c>
      <c r="D77">
        <v>6</v>
      </c>
      <c r="E77" t="s">
        <v>6</v>
      </c>
      <c r="F77" s="7">
        <v>30.442857142857143</v>
      </c>
      <c r="G77" s="7">
        <v>36.114285714285714</v>
      </c>
      <c r="H77" s="7">
        <v>25.242857142857144</v>
      </c>
      <c r="I77" s="7">
        <v>61.142857142857146</v>
      </c>
      <c r="J77" s="7">
        <v>0</v>
      </c>
    </row>
    <row r="78" spans="1:10" x14ac:dyDescent="0.3">
      <c r="A78" s="1">
        <v>45444</v>
      </c>
      <c r="B78">
        <v>25</v>
      </c>
      <c r="C78">
        <v>2024</v>
      </c>
      <c r="D78">
        <v>6</v>
      </c>
      <c r="E78" t="s">
        <v>6</v>
      </c>
      <c r="F78" s="7">
        <v>30.62857142857143</v>
      </c>
      <c r="G78" s="7">
        <v>35.928571428571431</v>
      </c>
      <c r="H78" s="7">
        <v>26.028571428571428</v>
      </c>
      <c r="I78" s="7">
        <v>59.285714285714285</v>
      </c>
      <c r="J78" s="7">
        <v>0</v>
      </c>
    </row>
    <row r="79" spans="1:10" x14ac:dyDescent="0.3">
      <c r="A79" s="1">
        <v>45444</v>
      </c>
      <c r="B79">
        <v>26</v>
      </c>
      <c r="C79">
        <v>2024</v>
      </c>
      <c r="D79">
        <v>6</v>
      </c>
      <c r="E79" t="s">
        <v>6</v>
      </c>
      <c r="F79" s="7">
        <v>29.400000000000002</v>
      </c>
      <c r="G79" s="7">
        <v>35</v>
      </c>
      <c r="H79" s="7">
        <v>24.971428571428572</v>
      </c>
      <c r="I79" s="7">
        <v>67.571428571428569</v>
      </c>
      <c r="J79" s="7">
        <v>0</v>
      </c>
    </row>
    <row r="80" spans="1:10" x14ac:dyDescent="0.3">
      <c r="A80" s="1">
        <v>45474</v>
      </c>
      <c r="B80">
        <v>27</v>
      </c>
      <c r="C80">
        <v>2024</v>
      </c>
      <c r="D80">
        <v>7</v>
      </c>
      <c r="E80" t="s">
        <v>7</v>
      </c>
      <c r="F80" s="7">
        <v>31.014285714285709</v>
      </c>
      <c r="G80" s="7">
        <v>36.057142857142857</v>
      </c>
      <c r="H80" s="7">
        <v>25.942857142857143</v>
      </c>
      <c r="I80" s="7">
        <v>59.142857142857146</v>
      </c>
      <c r="J80" s="7">
        <v>0</v>
      </c>
    </row>
    <row r="81" spans="1:10" x14ac:dyDescent="0.3">
      <c r="A81" s="1">
        <v>45474</v>
      </c>
      <c r="B81">
        <v>28</v>
      </c>
      <c r="C81">
        <v>2024</v>
      </c>
      <c r="D81">
        <v>7</v>
      </c>
      <c r="E81" t="s">
        <v>7</v>
      </c>
      <c r="F81" s="7">
        <v>31.585714285714285</v>
      </c>
      <c r="G81" s="7">
        <v>36.971428571428575</v>
      </c>
      <c r="H81" s="7">
        <v>25.457142857142856</v>
      </c>
      <c r="I81" s="7">
        <v>56.857142857142854</v>
      </c>
      <c r="J81" s="7">
        <v>0</v>
      </c>
    </row>
    <row r="82" spans="1:10" x14ac:dyDescent="0.3">
      <c r="A82" s="1">
        <v>45474</v>
      </c>
      <c r="B82">
        <v>29</v>
      </c>
      <c r="C82">
        <v>2024</v>
      </c>
      <c r="D82">
        <v>7</v>
      </c>
      <c r="E82" t="s">
        <v>7</v>
      </c>
      <c r="F82" s="7">
        <v>32.5</v>
      </c>
      <c r="G82" s="7">
        <v>37.842857142857142</v>
      </c>
      <c r="H82" s="7">
        <v>26.828571428571429</v>
      </c>
      <c r="I82" s="7">
        <v>53.428571428571431</v>
      </c>
      <c r="J82" s="7">
        <v>0</v>
      </c>
    </row>
    <row r="83" spans="1:10" x14ac:dyDescent="0.3">
      <c r="A83" s="1">
        <v>45474</v>
      </c>
      <c r="B83">
        <v>30</v>
      </c>
      <c r="C83">
        <v>2024</v>
      </c>
      <c r="D83">
        <v>7</v>
      </c>
      <c r="E83" t="s">
        <v>7</v>
      </c>
      <c r="F83" s="7">
        <v>32.385714285714286</v>
      </c>
      <c r="G83" s="7">
        <v>37.442857142857143</v>
      </c>
      <c r="H83" s="7">
        <v>27.142857142857142</v>
      </c>
      <c r="I83" s="7">
        <v>56.428571428571431</v>
      </c>
      <c r="J83" s="7">
        <v>0</v>
      </c>
    </row>
    <row r="84" spans="1:10" x14ac:dyDescent="0.3">
      <c r="A84" s="1">
        <v>45505</v>
      </c>
      <c r="B84">
        <v>31</v>
      </c>
      <c r="C84">
        <v>2024</v>
      </c>
      <c r="D84">
        <v>8</v>
      </c>
      <c r="E84" t="s">
        <v>8</v>
      </c>
      <c r="F84" s="7">
        <v>31.828571428571426</v>
      </c>
      <c r="G84" s="7">
        <v>38.51428571428572</v>
      </c>
      <c r="H84" s="7">
        <v>26</v>
      </c>
      <c r="I84" s="7">
        <v>58.571428571428569</v>
      </c>
      <c r="J84" s="7">
        <v>0</v>
      </c>
    </row>
    <row r="85" spans="1:10" x14ac:dyDescent="0.3">
      <c r="A85" s="1">
        <v>45505</v>
      </c>
      <c r="B85">
        <v>32</v>
      </c>
      <c r="C85">
        <v>2024</v>
      </c>
      <c r="D85">
        <v>8</v>
      </c>
      <c r="E85" t="s">
        <v>8</v>
      </c>
      <c r="F85" s="7">
        <v>31.94285714285714</v>
      </c>
      <c r="G85" s="7">
        <v>37.857142857142854</v>
      </c>
      <c r="H85" s="7">
        <v>26.085714285714285</v>
      </c>
      <c r="I85" s="7">
        <v>61.428571428571431</v>
      </c>
      <c r="J85" s="7">
        <v>0</v>
      </c>
    </row>
    <row r="86" spans="1:10" x14ac:dyDescent="0.3">
      <c r="A86" s="1">
        <v>45505</v>
      </c>
      <c r="B86">
        <v>33</v>
      </c>
      <c r="C86">
        <v>2024</v>
      </c>
      <c r="D86">
        <v>8</v>
      </c>
      <c r="E86" t="s">
        <v>8</v>
      </c>
      <c r="F86" s="7">
        <v>30.566666666666666</v>
      </c>
      <c r="G86" s="7">
        <v>35.366666666666667</v>
      </c>
      <c r="H86" s="7">
        <v>25.599999999999998</v>
      </c>
      <c r="I86" s="7">
        <v>67.5</v>
      </c>
      <c r="J86" s="7">
        <v>25.91</v>
      </c>
    </row>
    <row r="87" spans="1:10" x14ac:dyDescent="0.3">
      <c r="A87" s="1">
        <v>45505</v>
      </c>
      <c r="B87">
        <v>34</v>
      </c>
      <c r="C87">
        <v>2024</v>
      </c>
      <c r="D87">
        <v>8</v>
      </c>
      <c r="E87" t="s">
        <v>8</v>
      </c>
      <c r="F87" s="7">
        <v>30.842857142857138</v>
      </c>
      <c r="G87" s="7">
        <v>36.31428571428571</v>
      </c>
      <c r="H87" s="7">
        <v>25.942857142857143</v>
      </c>
      <c r="I87" s="7">
        <v>68.428571428571431</v>
      </c>
      <c r="J87" s="7">
        <v>0</v>
      </c>
    </row>
    <row r="88" spans="1:10" x14ac:dyDescent="0.3">
      <c r="A88" s="1">
        <v>45505</v>
      </c>
      <c r="B88">
        <v>35</v>
      </c>
      <c r="C88">
        <v>2024</v>
      </c>
      <c r="D88">
        <v>8</v>
      </c>
      <c r="E88" t="s">
        <v>8</v>
      </c>
      <c r="F88" s="7">
        <v>30.599999999999998</v>
      </c>
      <c r="G88" s="7">
        <v>35.685714285714283</v>
      </c>
      <c r="H88" s="7">
        <v>25.25714285714286</v>
      </c>
      <c r="I88" s="7">
        <v>71</v>
      </c>
      <c r="J88" s="7">
        <v>4.0599999999999996</v>
      </c>
    </row>
    <row r="89" spans="1:10" x14ac:dyDescent="0.3">
      <c r="A89" s="1">
        <v>45536</v>
      </c>
      <c r="B89">
        <v>36</v>
      </c>
      <c r="C89">
        <v>2024</v>
      </c>
      <c r="D89">
        <v>9</v>
      </c>
      <c r="E89" t="s">
        <v>9</v>
      </c>
      <c r="F89" s="7">
        <v>30.828571428571426</v>
      </c>
      <c r="G89" s="7">
        <v>35.999999999999993</v>
      </c>
      <c r="H89" s="7">
        <v>25.714285714285715</v>
      </c>
      <c r="I89" s="7">
        <v>70</v>
      </c>
      <c r="J89" s="7">
        <v>0</v>
      </c>
    </row>
    <row r="90" spans="1:10" x14ac:dyDescent="0.3">
      <c r="A90" s="1">
        <v>45536</v>
      </c>
      <c r="B90">
        <v>37</v>
      </c>
      <c r="C90">
        <v>2024</v>
      </c>
      <c r="D90">
        <v>9</v>
      </c>
      <c r="E90" t="s">
        <v>9</v>
      </c>
      <c r="F90" s="7">
        <v>31.171428571428574</v>
      </c>
      <c r="G90" s="7">
        <v>38.1</v>
      </c>
      <c r="H90" s="7">
        <v>25.828571428571429</v>
      </c>
      <c r="I90" s="7">
        <v>65.142857142857139</v>
      </c>
      <c r="J90" s="7">
        <v>2.54</v>
      </c>
    </row>
    <row r="91" spans="1:10" x14ac:dyDescent="0.3">
      <c r="A91" s="1">
        <v>45536</v>
      </c>
      <c r="B91">
        <v>38</v>
      </c>
      <c r="C91">
        <v>2024</v>
      </c>
      <c r="D91">
        <v>9</v>
      </c>
      <c r="E91" t="s">
        <v>9</v>
      </c>
      <c r="F91" s="7">
        <v>29.24285714285714</v>
      </c>
      <c r="G91" s="7">
        <v>35.985714285714288</v>
      </c>
      <c r="H91" s="7">
        <v>22.971428571428572</v>
      </c>
      <c r="I91" s="7">
        <v>64.285714285714292</v>
      </c>
      <c r="J91" s="7">
        <v>0</v>
      </c>
    </row>
    <row r="92" spans="1:10" x14ac:dyDescent="0.3">
      <c r="A92" s="1">
        <v>45536</v>
      </c>
      <c r="B92">
        <v>39</v>
      </c>
      <c r="C92">
        <v>2024</v>
      </c>
      <c r="D92">
        <v>9</v>
      </c>
      <c r="E92" t="s">
        <v>9</v>
      </c>
      <c r="F92" s="7">
        <v>32.442857142857143</v>
      </c>
      <c r="G92" s="7">
        <v>39.128571428571426</v>
      </c>
      <c r="H92" s="7">
        <v>25.571428571428566</v>
      </c>
      <c r="I92" s="7">
        <v>57.571428571428569</v>
      </c>
      <c r="J92" s="7">
        <v>0</v>
      </c>
    </row>
    <row r="93" spans="1:10" x14ac:dyDescent="0.3">
      <c r="A93" s="1">
        <v>45566</v>
      </c>
      <c r="B93">
        <v>40</v>
      </c>
      <c r="C93">
        <v>2024</v>
      </c>
      <c r="D93">
        <v>10</v>
      </c>
      <c r="E93" t="s">
        <v>10</v>
      </c>
      <c r="F93" s="7">
        <v>31.62857142857143</v>
      </c>
      <c r="G93" s="7">
        <v>38.557142857142864</v>
      </c>
      <c r="H93" s="7">
        <v>25.457142857142856</v>
      </c>
      <c r="I93" s="7">
        <v>61.714285714285715</v>
      </c>
      <c r="J93" s="7">
        <v>0</v>
      </c>
    </row>
    <row r="94" spans="1:10" x14ac:dyDescent="0.3">
      <c r="A94" s="1">
        <v>45566</v>
      </c>
      <c r="B94">
        <v>41</v>
      </c>
      <c r="C94">
        <v>2024</v>
      </c>
      <c r="D94">
        <v>10</v>
      </c>
      <c r="E94" t="s">
        <v>10</v>
      </c>
      <c r="F94" s="7">
        <v>31.142857142857142</v>
      </c>
      <c r="G94" s="7">
        <v>37.314285714285724</v>
      </c>
      <c r="H94" s="7">
        <v>24.314285714285713</v>
      </c>
      <c r="I94" s="7">
        <v>63.857142857142854</v>
      </c>
      <c r="J94" s="7">
        <v>0</v>
      </c>
    </row>
    <row r="95" spans="1:10" x14ac:dyDescent="0.3">
      <c r="A95" s="1">
        <v>45566</v>
      </c>
      <c r="B95">
        <v>42</v>
      </c>
      <c r="C95">
        <v>2024</v>
      </c>
      <c r="D95">
        <v>10</v>
      </c>
      <c r="E95" t="s">
        <v>10</v>
      </c>
      <c r="F95" s="7">
        <v>30.900000000000002</v>
      </c>
      <c r="G95" s="7">
        <v>37.728571428571421</v>
      </c>
      <c r="H95" s="7">
        <v>23.857142857142858</v>
      </c>
      <c r="I95" s="7">
        <v>57.714285714285715</v>
      </c>
      <c r="J95" s="7">
        <v>0</v>
      </c>
    </row>
    <row r="96" spans="1:10" x14ac:dyDescent="0.3">
      <c r="A96" s="1">
        <v>45566</v>
      </c>
      <c r="B96">
        <v>43</v>
      </c>
      <c r="C96">
        <v>2024</v>
      </c>
      <c r="D96">
        <v>10</v>
      </c>
      <c r="E96" t="s">
        <v>10</v>
      </c>
      <c r="F96" s="7">
        <v>31.342857142857138</v>
      </c>
      <c r="G96" s="7">
        <v>40.128571428571433</v>
      </c>
      <c r="H96" s="7">
        <v>21.957142857142859</v>
      </c>
      <c r="I96" s="7">
        <v>52.428571428571431</v>
      </c>
      <c r="J96" s="7">
        <v>0</v>
      </c>
    </row>
    <row r="97" spans="1:10" x14ac:dyDescent="0.3">
      <c r="A97" s="1">
        <v>45597</v>
      </c>
      <c r="B97">
        <v>44</v>
      </c>
      <c r="C97">
        <v>2024</v>
      </c>
      <c r="D97">
        <v>11</v>
      </c>
      <c r="E97" t="s">
        <v>11</v>
      </c>
      <c r="F97" s="7">
        <v>29.38571428571429</v>
      </c>
      <c r="G97" s="7">
        <v>37.328571428571422</v>
      </c>
      <c r="H97" s="7">
        <v>19.642857142857142</v>
      </c>
      <c r="I97" s="7">
        <v>48.857142857142854</v>
      </c>
      <c r="J97" s="7">
        <v>0</v>
      </c>
    </row>
    <row r="98" spans="1:10" x14ac:dyDescent="0.3">
      <c r="A98" s="1">
        <v>45597</v>
      </c>
      <c r="B98">
        <v>45</v>
      </c>
      <c r="C98">
        <v>2024</v>
      </c>
      <c r="D98">
        <v>11</v>
      </c>
      <c r="E98" t="s">
        <v>11</v>
      </c>
      <c r="F98" s="7">
        <v>26.442857142857143</v>
      </c>
      <c r="G98" s="7">
        <v>34.728571428571428</v>
      </c>
      <c r="H98" s="7">
        <v>17.114285714285714</v>
      </c>
      <c r="I98" s="7">
        <v>49</v>
      </c>
      <c r="J98" s="7">
        <v>0</v>
      </c>
    </row>
    <row r="99" spans="1:10" x14ac:dyDescent="0.3">
      <c r="A99" s="1">
        <v>45597</v>
      </c>
      <c r="B99">
        <v>46</v>
      </c>
      <c r="C99">
        <v>2024</v>
      </c>
      <c r="D99">
        <v>11</v>
      </c>
      <c r="E99" t="s">
        <v>11</v>
      </c>
      <c r="F99" s="7">
        <v>26.000000000000004</v>
      </c>
      <c r="G99" s="7">
        <v>35.81428571428571</v>
      </c>
      <c r="H99" s="7">
        <v>14.514285714285716</v>
      </c>
      <c r="I99" s="7">
        <v>44.285714285714285</v>
      </c>
      <c r="J99" s="7">
        <v>0</v>
      </c>
    </row>
    <row r="100" spans="1:10" x14ac:dyDescent="0.3">
      <c r="A100" s="1">
        <v>45597</v>
      </c>
      <c r="B100">
        <v>47</v>
      </c>
      <c r="C100">
        <v>2024</v>
      </c>
      <c r="D100">
        <v>11</v>
      </c>
      <c r="E100" t="s">
        <v>11</v>
      </c>
      <c r="F100" s="7">
        <v>23.866666666666664</v>
      </c>
      <c r="G100" s="7">
        <v>35.766666666666666</v>
      </c>
      <c r="H100" s="7">
        <v>14.1</v>
      </c>
      <c r="I100" s="7">
        <v>51</v>
      </c>
      <c r="J100" s="7">
        <v>0</v>
      </c>
    </row>
    <row r="101" spans="1:10" x14ac:dyDescent="0.3">
      <c r="A101" s="1">
        <v>45597</v>
      </c>
      <c r="B101">
        <v>48</v>
      </c>
      <c r="C101">
        <v>2024</v>
      </c>
      <c r="D101">
        <v>11</v>
      </c>
      <c r="E101" t="s">
        <v>11</v>
      </c>
      <c r="F101" s="7">
        <v>23.171428571428571</v>
      </c>
      <c r="G101" s="7">
        <v>35.057142857142857</v>
      </c>
      <c r="H101" s="7">
        <v>13.77142857142857</v>
      </c>
      <c r="I101" s="7">
        <v>56.285714285714285</v>
      </c>
      <c r="J101" s="7">
        <v>0</v>
      </c>
    </row>
    <row r="102" spans="1:10" x14ac:dyDescent="0.3">
      <c r="A102" s="1">
        <v>45627</v>
      </c>
      <c r="B102">
        <v>49</v>
      </c>
      <c r="C102">
        <v>2024</v>
      </c>
      <c r="D102">
        <v>12</v>
      </c>
      <c r="E102" t="s">
        <v>1</v>
      </c>
      <c r="F102" s="7">
        <v>21.700000000000003</v>
      </c>
      <c r="G102" s="7">
        <v>34.283333333333339</v>
      </c>
      <c r="H102" s="7">
        <v>11.85</v>
      </c>
      <c r="I102" s="7">
        <v>53.5</v>
      </c>
      <c r="J102" s="7">
        <v>0</v>
      </c>
    </row>
    <row r="103" spans="1:10" x14ac:dyDescent="0.3">
      <c r="A103" s="1">
        <v>45627</v>
      </c>
      <c r="B103">
        <v>50</v>
      </c>
      <c r="C103">
        <v>2024</v>
      </c>
      <c r="D103">
        <v>12</v>
      </c>
      <c r="E103" t="s">
        <v>1</v>
      </c>
      <c r="F103" s="7">
        <v>21.342857142857149</v>
      </c>
      <c r="G103" s="7">
        <v>31.87142857142857</v>
      </c>
      <c r="H103" s="7">
        <v>12.714285714285712</v>
      </c>
      <c r="I103" s="7">
        <v>52.571428571428569</v>
      </c>
      <c r="J103" s="7">
        <v>0</v>
      </c>
    </row>
    <row r="104" spans="1:10" x14ac:dyDescent="0.3">
      <c r="A104" s="1">
        <v>45627</v>
      </c>
      <c r="B104">
        <v>51</v>
      </c>
      <c r="C104">
        <v>2024</v>
      </c>
      <c r="D104">
        <v>12</v>
      </c>
      <c r="E104" t="s">
        <v>1</v>
      </c>
      <c r="F104" s="7">
        <v>21.585714285714285</v>
      </c>
      <c r="G104" s="7">
        <v>33.071428571428569</v>
      </c>
      <c r="H104" s="7">
        <v>11.942857142857141</v>
      </c>
      <c r="I104" s="7">
        <v>58</v>
      </c>
      <c r="J104" s="7">
        <v>0</v>
      </c>
    </row>
    <row r="105" spans="1:10" x14ac:dyDescent="0.3">
      <c r="A105" s="1">
        <v>45627</v>
      </c>
      <c r="B105">
        <v>52</v>
      </c>
      <c r="C105">
        <v>2024</v>
      </c>
      <c r="D105">
        <v>12</v>
      </c>
      <c r="E105" t="s">
        <v>1</v>
      </c>
      <c r="F105" s="7">
        <v>19.928571428571427</v>
      </c>
      <c r="G105" s="7">
        <v>31.728571428571431</v>
      </c>
      <c r="H105" s="7">
        <v>10</v>
      </c>
      <c r="I105" s="7">
        <v>61.285714285714285</v>
      </c>
      <c r="J105" s="7">
        <v>0</v>
      </c>
    </row>
    <row r="106" spans="1:10" x14ac:dyDescent="0.3">
      <c r="A106" s="1">
        <v>45658</v>
      </c>
      <c r="B106">
        <v>1</v>
      </c>
      <c r="C106">
        <v>2025</v>
      </c>
      <c r="D106">
        <v>1</v>
      </c>
      <c r="E106" t="s">
        <v>0</v>
      </c>
      <c r="F106" s="7">
        <v>20.025000000000002</v>
      </c>
      <c r="G106" s="7">
        <v>31.575000000000003</v>
      </c>
      <c r="H106" s="7">
        <v>11.324999999999999</v>
      </c>
      <c r="I106" s="7">
        <v>65</v>
      </c>
      <c r="J106" s="7">
        <v>0</v>
      </c>
    </row>
    <row r="107" spans="1:10" x14ac:dyDescent="0.3">
      <c r="A107" s="1">
        <v>45658</v>
      </c>
      <c r="B107">
        <v>2</v>
      </c>
      <c r="C107">
        <v>2025</v>
      </c>
      <c r="D107">
        <v>1</v>
      </c>
      <c r="E107" t="s">
        <v>0</v>
      </c>
      <c r="F107" s="7">
        <v>18.942857142857143</v>
      </c>
      <c r="G107" s="7">
        <v>29.1</v>
      </c>
      <c r="H107" s="7">
        <v>10.528571428571428</v>
      </c>
      <c r="I107" s="7">
        <v>60.857142857142854</v>
      </c>
      <c r="J107" s="7">
        <v>0</v>
      </c>
    </row>
    <row r="108" spans="1:10" x14ac:dyDescent="0.3">
      <c r="A108" s="1">
        <v>45658</v>
      </c>
      <c r="B108">
        <v>3</v>
      </c>
      <c r="C108">
        <v>2025</v>
      </c>
      <c r="D108">
        <v>1</v>
      </c>
      <c r="E108" t="s">
        <v>0</v>
      </c>
      <c r="F108" s="7">
        <v>19.828571428571429</v>
      </c>
      <c r="G108" s="7">
        <v>29.585714285714289</v>
      </c>
      <c r="H108" s="7">
        <v>9.9571428571428573</v>
      </c>
      <c r="I108" s="7">
        <v>53.285714285714285</v>
      </c>
      <c r="J108" s="7">
        <v>0</v>
      </c>
    </row>
    <row r="109" spans="1:10" x14ac:dyDescent="0.3">
      <c r="A109" s="1">
        <v>45658</v>
      </c>
      <c r="B109">
        <v>4</v>
      </c>
      <c r="C109">
        <v>2025</v>
      </c>
      <c r="D109">
        <v>1</v>
      </c>
      <c r="E109" t="s">
        <v>0</v>
      </c>
      <c r="F109" s="7">
        <v>18.357142857142858</v>
      </c>
      <c r="G109" s="7">
        <v>30.271428571428572</v>
      </c>
      <c r="H109" s="7">
        <v>8.0571428571428552</v>
      </c>
      <c r="I109" s="7">
        <v>54.142857142857146</v>
      </c>
      <c r="J109" s="7">
        <v>0</v>
      </c>
    </row>
    <row r="110" spans="1:10" x14ac:dyDescent="0.3">
      <c r="A110" s="1">
        <v>45689</v>
      </c>
      <c r="B110">
        <v>5</v>
      </c>
      <c r="C110">
        <v>2025</v>
      </c>
      <c r="D110">
        <v>2</v>
      </c>
      <c r="E110" t="s">
        <v>2</v>
      </c>
      <c r="F110" s="7">
        <v>18.985714285714288</v>
      </c>
      <c r="G110" s="7">
        <v>30.285714285714285</v>
      </c>
      <c r="H110" s="7">
        <v>8.7857142857142865</v>
      </c>
      <c r="I110" s="7">
        <v>47.714285714285715</v>
      </c>
      <c r="J110" s="7">
        <v>0</v>
      </c>
    </row>
    <row r="111" spans="1:10" x14ac:dyDescent="0.3">
      <c r="A111" s="1">
        <v>45689</v>
      </c>
      <c r="B111">
        <v>6</v>
      </c>
      <c r="C111">
        <v>2025</v>
      </c>
      <c r="D111">
        <v>2</v>
      </c>
      <c r="E111" t="s">
        <v>2</v>
      </c>
      <c r="F111" s="7">
        <v>20.485714285714288</v>
      </c>
      <c r="G111" s="7">
        <v>33.728571428571421</v>
      </c>
      <c r="H111" s="7">
        <v>8.8571428571428577</v>
      </c>
      <c r="I111" s="7">
        <v>47.428571428571431</v>
      </c>
      <c r="J111" s="7">
        <v>0</v>
      </c>
    </row>
    <row r="112" spans="1:10" x14ac:dyDescent="0.3">
      <c r="A112" s="1">
        <v>45689</v>
      </c>
      <c r="B112">
        <v>7</v>
      </c>
      <c r="C112">
        <v>2025</v>
      </c>
      <c r="D112">
        <v>2</v>
      </c>
      <c r="E112" t="s">
        <v>2</v>
      </c>
      <c r="F112" s="7">
        <v>20.2</v>
      </c>
      <c r="G112" s="7">
        <v>32.542857142857144</v>
      </c>
      <c r="H112" s="7">
        <v>9.7714285714285722</v>
      </c>
      <c r="I112" s="7">
        <v>54.428571428571431</v>
      </c>
      <c r="J112" s="7">
        <v>0</v>
      </c>
    </row>
    <row r="113" spans="1:10" x14ac:dyDescent="0.3">
      <c r="A113" s="1">
        <v>45689</v>
      </c>
      <c r="B113">
        <v>8</v>
      </c>
      <c r="C113">
        <v>2025</v>
      </c>
      <c r="D113">
        <v>2</v>
      </c>
      <c r="E113" t="s">
        <v>2</v>
      </c>
      <c r="F113" s="7">
        <v>20.857142857142858</v>
      </c>
      <c r="G113" s="7">
        <v>33.185714285714283</v>
      </c>
      <c r="H113" s="7">
        <v>9.7571428571428562</v>
      </c>
      <c r="I113" s="7">
        <v>49.714285714285715</v>
      </c>
      <c r="J113" s="7">
        <v>0</v>
      </c>
    </row>
    <row r="114" spans="1:10" x14ac:dyDescent="0.3">
      <c r="A114" s="1">
        <v>45717</v>
      </c>
      <c r="B114">
        <v>9</v>
      </c>
      <c r="C114">
        <v>2025</v>
      </c>
      <c r="D114">
        <v>3</v>
      </c>
      <c r="E114" t="s">
        <v>3</v>
      </c>
      <c r="F114" s="7">
        <v>21</v>
      </c>
      <c r="G114" s="7">
        <v>33.557142857142857</v>
      </c>
      <c r="H114" s="7">
        <v>10.485714285714284</v>
      </c>
      <c r="I114" s="7">
        <v>58.857142857142854</v>
      </c>
      <c r="J114" s="7">
        <v>0</v>
      </c>
    </row>
    <row r="115" spans="1:10" x14ac:dyDescent="0.3">
      <c r="A115" s="1">
        <v>45717</v>
      </c>
      <c r="B115">
        <v>10</v>
      </c>
      <c r="C115">
        <v>2025</v>
      </c>
      <c r="D115">
        <v>3</v>
      </c>
      <c r="E115" t="s">
        <v>3</v>
      </c>
      <c r="F115" s="7">
        <v>20.7</v>
      </c>
      <c r="G115" s="7">
        <v>32.957142857142856</v>
      </c>
      <c r="H115" s="7">
        <v>9.9714285714285715</v>
      </c>
      <c r="I115" s="7">
        <v>52.714285714285715</v>
      </c>
      <c r="J115" s="7">
        <v>0</v>
      </c>
    </row>
    <row r="116" spans="1:10" x14ac:dyDescent="0.3">
      <c r="A116" s="1">
        <v>45717</v>
      </c>
      <c r="B116">
        <v>11</v>
      </c>
      <c r="C116">
        <v>2025</v>
      </c>
      <c r="D116">
        <v>3</v>
      </c>
      <c r="E116" t="s">
        <v>3</v>
      </c>
      <c r="F116" s="7">
        <v>20.900000000000002</v>
      </c>
      <c r="G116" s="7">
        <v>33.1</v>
      </c>
      <c r="H116" s="7">
        <v>8.8714285714285719</v>
      </c>
      <c r="I116" s="7">
        <v>43.142857142857146</v>
      </c>
      <c r="J116" s="7">
        <v>0</v>
      </c>
    </row>
    <row r="117" spans="1:10" x14ac:dyDescent="0.3">
      <c r="A117" s="1">
        <v>45717</v>
      </c>
      <c r="B117">
        <v>12</v>
      </c>
      <c r="C117">
        <v>2025</v>
      </c>
      <c r="D117">
        <v>3</v>
      </c>
      <c r="E117" t="s">
        <v>3</v>
      </c>
      <c r="F117" s="7">
        <v>21.12857142857143</v>
      </c>
      <c r="G117" s="7">
        <v>34.128571428571426</v>
      </c>
      <c r="H117" s="7">
        <v>10.8</v>
      </c>
      <c r="I117" s="7">
        <v>51.714285714285715</v>
      </c>
      <c r="J117" s="7">
        <v>0</v>
      </c>
    </row>
    <row r="118" spans="1:10" x14ac:dyDescent="0.3">
      <c r="A118" s="1">
        <v>45717</v>
      </c>
      <c r="B118">
        <v>13</v>
      </c>
      <c r="C118">
        <v>2025</v>
      </c>
      <c r="D118">
        <v>3</v>
      </c>
      <c r="E118" t="s">
        <v>3</v>
      </c>
      <c r="F118" s="7">
        <v>22.657142857142855</v>
      </c>
      <c r="G118" s="7">
        <v>34.528571428571425</v>
      </c>
      <c r="H118" s="7">
        <v>11.799999999999999</v>
      </c>
      <c r="I118" s="7">
        <v>46.571428571428569</v>
      </c>
      <c r="J118" s="7">
        <v>0</v>
      </c>
    </row>
    <row r="119" spans="1:10" x14ac:dyDescent="0.3">
      <c r="A119" s="1">
        <v>45748</v>
      </c>
      <c r="B119">
        <v>14</v>
      </c>
      <c r="C119">
        <v>2025</v>
      </c>
      <c r="D119">
        <v>4</v>
      </c>
      <c r="E119" t="s">
        <v>4</v>
      </c>
      <c r="F119" s="7">
        <v>22.542857142857141</v>
      </c>
      <c r="G119" s="7">
        <v>33.657142857142858</v>
      </c>
      <c r="H119" s="7">
        <v>13.942857142857145</v>
      </c>
      <c r="I119" s="7">
        <v>56.857142857142854</v>
      </c>
      <c r="J119" s="7">
        <v>0</v>
      </c>
    </row>
    <row r="120" spans="1:10" x14ac:dyDescent="0.3">
      <c r="A120" s="1">
        <v>45748</v>
      </c>
      <c r="B120">
        <v>15</v>
      </c>
      <c r="C120">
        <v>2025</v>
      </c>
      <c r="D120">
        <v>4</v>
      </c>
      <c r="E120" t="s">
        <v>4</v>
      </c>
      <c r="F120" s="7">
        <v>23.571428571428566</v>
      </c>
      <c r="G120" s="7">
        <v>35.928571428571431</v>
      </c>
      <c r="H120" s="7">
        <v>12.228571428571428</v>
      </c>
      <c r="I120" s="7">
        <v>43.714285714285715</v>
      </c>
      <c r="J120" s="7">
        <v>0</v>
      </c>
    </row>
    <row r="121" spans="1:10" x14ac:dyDescent="0.3">
      <c r="A121" s="1">
        <v>45748</v>
      </c>
      <c r="B121">
        <v>16</v>
      </c>
      <c r="C121">
        <v>2025</v>
      </c>
      <c r="D121">
        <v>4</v>
      </c>
      <c r="E121" t="s">
        <v>4</v>
      </c>
      <c r="F121" s="7">
        <v>25.814285714285713</v>
      </c>
      <c r="G121" s="7">
        <v>36.085714285714282</v>
      </c>
      <c r="H121" s="7">
        <v>17.499999999999996</v>
      </c>
      <c r="I121" s="7">
        <v>56.428571428571431</v>
      </c>
      <c r="J121" s="7">
        <v>0</v>
      </c>
    </row>
    <row r="122" spans="1:10" x14ac:dyDescent="0.3">
      <c r="A122" s="1">
        <v>45748</v>
      </c>
      <c r="B122">
        <v>17</v>
      </c>
      <c r="C122">
        <v>2025</v>
      </c>
      <c r="D122">
        <v>4</v>
      </c>
      <c r="E122" t="s">
        <v>4</v>
      </c>
      <c r="F122" s="7">
        <v>23.74285714285714</v>
      </c>
      <c r="G122" s="7">
        <v>35.471428571428575</v>
      </c>
      <c r="H122" s="7">
        <v>13.214285714285717</v>
      </c>
      <c r="I122" s="7">
        <v>47.142857142857146</v>
      </c>
      <c r="J122" s="7">
        <v>0</v>
      </c>
    </row>
    <row r="123" spans="1:10" x14ac:dyDescent="0.3">
      <c r="A123" s="1">
        <v>45778</v>
      </c>
      <c r="B123">
        <v>18</v>
      </c>
      <c r="C123">
        <v>2025</v>
      </c>
      <c r="D123">
        <v>5</v>
      </c>
      <c r="E123" t="s">
        <v>5</v>
      </c>
      <c r="F123" s="7">
        <v>25.5</v>
      </c>
      <c r="G123" s="7">
        <v>36.857142857142854</v>
      </c>
      <c r="H123" s="7">
        <v>14.342857142857142</v>
      </c>
      <c r="I123" s="7">
        <v>44.142857142857146</v>
      </c>
      <c r="J123" s="7">
        <v>0</v>
      </c>
    </row>
    <row r="124" spans="1:10" x14ac:dyDescent="0.3">
      <c r="A124" s="1">
        <v>45778</v>
      </c>
      <c r="B124">
        <v>19</v>
      </c>
      <c r="C124">
        <v>2025</v>
      </c>
      <c r="D124">
        <v>5</v>
      </c>
      <c r="E124" t="s">
        <v>5</v>
      </c>
      <c r="F124" s="7">
        <v>24.928571428571423</v>
      </c>
      <c r="G124" s="7">
        <v>35.200000000000003</v>
      </c>
      <c r="H124" s="7">
        <v>14.185714285714287</v>
      </c>
      <c r="I124" s="7">
        <v>49</v>
      </c>
      <c r="J124" s="7">
        <v>0</v>
      </c>
    </row>
    <row r="125" spans="1:10" x14ac:dyDescent="0.3">
      <c r="A125" s="1">
        <v>45778</v>
      </c>
      <c r="B125">
        <v>20</v>
      </c>
      <c r="C125">
        <v>2025</v>
      </c>
      <c r="D125">
        <v>5</v>
      </c>
      <c r="E125" t="s">
        <v>5</v>
      </c>
      <c r="F125" s="7">
        <v>27.571428571428573</v>
      </c>
      <c r="G125" s="7">
        <v>37.81428571428571</v>
      </c>
      <c r="H125" s="7">
        <v>18.242857142857144</v>
      </c>
      <c r="I125" s="7">
        <v>50.142857142857146</v>
      </c>
      <c r="J125" s="7">
        <v>9.91</v>
      </c>
    </row>
    <row r="126" spans="1:10" x14ac:dyDescent="0.3">
      <c r="A126" s="1">
        <v>45778</v>
      </c>
      <c r="B126">
        <v>21</v>
      </c>
      <c r="C126">
        <v>2025</v>
      </c>
      <c r="D126">
        <v>5</v>
      </c>
      <c r="E126" t="s">
        <v>5</v>
      </c>
      <c r="F126" s="7">
        <v>27.814285714285713</v>
      </c>
      <c r="G126" s="7">
        <v>39.199999999999996</v>
      </c>
      <c r="H126" s="7">
        <v>17.5</v>
      </c>
      <c r="I126" s="7">
        <v>42.571428571428569</v>
      </c>
      <c r="J126" s="7">
        <v>0</v>
      </c>
    </row>
    <row r="127" spans="1:10" x14ac:dyDescent="0.3">
      <c r="A127" s="1">
        <v>45778</v>
      </c>
      <c r="B127">
        <v>22</v>
      </c>
      <c r="C127">
        <v>2025</v>
      </c>
      <c r="D127">
        <v>5</v>
      </c>
      <c r="E127" t="s">
        <v>5</v>
      </c>
      <c r="F127" s="7">
        <v>29.428571428571427</v>
      </c>
      <c r="G127" s="7">
        <v>37.228571428571435</v>
      </c>
      <c r="H127" s="7">
        <v>21.957142857142859</v>
      </c>
      <c r="I127" s="7">
        <v>48.714285714285715</v>
      </c>
      <c r="J127" s="7">
        <v>0</v>
      </c>
    </row>
    <row r="128" spans="1:10" x14ac:dyDescent="0.3">
      <c r="A128" s="1">
        <v>45809</v>
      </c>
      <c r="B128">
        <v>23</v>
      </c>
      <c r="C128">
        <v>2025</v>
      </c>
      <c r="D128">
        <v>6</v>
      </c>
      <c r="E128" t="s">
        <v>6</v>
      </c>
      <c r="F128" s="7">
        <v>29.3</v>
      </c>
      <c r="G128" s="7">
        <v>37.4</v>
      </c>
      <c r="H128" s="7">
        <v>22.657142857142855</v>
      </c>
      <c r="I128" s="7">
        <v>61.571428571428569</v>
      </c>
      <c r="J128" s="7">
        <v>0</v>
      </c>
    </row>
    <row r="129" spans="1:10" x14ac:dyDescent="0.3">
      <c r="A129" s="1">
        <v>45809</v>
      </c>
      <c r="B129">
        <v>24</v>
      </c>
      <c r="C129">
        <v>2025</v>
      </c>
      <c r="D129">
        <v>6</v>
      </c>
      <c r="E129" t="s">
        <v>6</v>
      </c>
      <c r="F129" s="7">
        <v>30.657142857142862</v>
      </c>
      <c r="G129" s="7">
        <v>38.842857142857142</v>
      </c>
      <c r="H129" s="7">
        <v>25.828571428571429</v>
      </c>
      <c r="I129" s="7">
        <v>59.428571428571431</v>
      </c>
      <c r="J129" s="7">
        <v>0</v>
      </c>
    </row>
    <row r="130" spans="1:10" x14ac:dyDescent="0.3">
      <c r="A130" s="1">
        <v>45809</v>
      </c>
      <c r="B130">
        <v>25</v>
      </c>
      <c r="C130">
        <v>2025</v>
      </c>
      <c r="D130">
        <v>6</v>
      </c>
      <c r="E130" t="s">
        <v>6</v>
      </c>
      <c r="F130" s="7">
        <v>30.857142857142854</v>
      </c>
      <c r="G130" s="7">
        <v>38.1</v>
      </c>
      <c r="H130" s="7">
        <v>26.971428571428568</v>
      </c>
      <c r="I130" s="7">
        <v>63.428571428571431</v>
      </c>
      <c r="J130" s="7">
        <v>0</v>
      </c>
    </row>
    <row r="131" spans="1:10" x14ac:dyDescent="0.3">
      <c r="A131" s="1">
        <v>45809</v>
      </c>
      <c r="B131">
        <v>26</v>
      </c>
      <c r="C131">
        <v>2025</v>
      </c>
      <c r="D131">
        <v>6</v>
      </c>
      <c r="E131" t="s">
        <v>6</v>
      </c>
      <c r="F131" s="7">
        <v>29.699999999999996</v>
      </c>
      <c r="G131" s="7">
        <v>36.471428571428575</v>
      </c>
      <c r="H131" s="7">
        <v>24.342857142857145</v>
      </c>
      <c r="I131" s="7">
        <v>64</v>
      </c>
      <c r="J131" s="7">
        <v>0.25</v>
      </c>
    </row>
    <row r="132" spans="1:10" x14ac:dyDescent="0.3">
      <c r="A132" s="1">
        <v>45839</v>
      </c>
      <c r="B132">
        <v>27</v>
      </c>
      <c r="C132">
        <v>2025</v>
      </c>
      <c r="D132">
        <v>7</v>
      </c>
      <c r="E132" t="s">
        <v>7</v>
      </c>
      <c r="F132" s="7">
        <v>30.442857142857147</v>
      </c>
      <c r="G132" s="7">
        <v>37.442857142857143</v>
      </c>
      <c r="H132" s="7">
        <v>24.857142857142858</v>
      </c>
      <c r="I132" s="7">
        <v>66.428571428571431</v>
      </c>
      <c r="J132" s="7">
        <v>0</v>
      </c>
    </row>
    <row r="133" spans="1:10" x14ac:dyDescent="0.3">
      <c r="A133" s="1">
        <v>45839</v>
      </c>
      <c r="B133">
        <v>28</v>
      </c>
      <c r="C133">
        <v>2025</v>
      </c>
      <c r="D133">
        <v>7</v>
      </c>
      <c r="E133" t="s">
        <v>7</v>
      </c>
      <c r="F133" s="7">
        <v>29</v>
      </c>
      <c r="G133" s="7">
        <v>36.857142857142854</v>
      </c>
      <c r="H133" s="7">
        <v>24.342857142857145</v>
      </c>
      <c r="I133" s="7">
        <v>73</v>
      </c>
      <c r="J133" s="7">
        <v>6.35</v>
      </c>
    </row>
    <row r="134" spans="1:10" x14ac:dyDescent="0.3">
      <c r="A134" s="1">
        <v>45839</v>
      </c>
      <c r="B134">
        <v>29</v>
      </c>
      <c r="C134">
        <v>2025</v>
      </c>
      <c r="D134">
        <v>7</v>
      </c>
      <c r="E134" t="s">
        <v>7</v>
      </c>
      <c r="F134" s="7">
        <v>29.357142857142858</v>
      </c>
      <c r="G134" s="7">
        <v>36.442857142857143</v>
      </c>
      <c r="H134" s="7">
        <v>24.642857142857142</v>
      </c>
      <c r="I134" s="7">
        <v>71.285714285714292</v>
      </c>
      <c r="J134" s="7">
        <v>0</v>
      </c>
    </row>
    <row r="135" spans="1:10" x14ac:dyDescent="0.3">
      <c r="A135" s="1">
        <v>45839</v>
      </c>
      <c r="B135">
        <v>30</v>
      </c>
      <c r="C135">
        <v>2025</v>
      </c>
      <c r="D135">
        <v>7</v>
      </c>
      <c r="E135" t="s">
        <v>7</v>
      </c>
      <c r="F135" s="7">
        <v>30.928571428571423</v>
      </c>
      <c r="G135" s="7">
        <v>38.1</v>
      </c>
      <c r="H135" s="7">
        <v>24.742857142857144</v>
      </c>
      <c r="I135" s="7">
        <v>60.428571428571431</v>
      </c>
      <c r="J135" s="7">
        <v>0</v>
      </c>
    </row>
    <row r="136" spans="1:10" x14ac:dyDescent="0.3">
      <c r="A136" s="1">
        <v>45870</v>
      </c>
      <c r="B136">
        <v>31</v>
      </c>
      <c r="C136">
        <v>2025</v>
      </c>
      <c r="D136">
        <v>8</v>
      </c>
      <c r="E136" t="s">
        <v>8</v>
      </c>
      <c r="F136" s="7">
        <v>30.942857142857147</v>
      </c>
      <c r="G136" s="7">
        <v>38.714285714285715</v>
      </c>
      <c r="H136" s="7">
        <v>26.199999999999996</v>
      </c>
      <c r="I136" s="7">
        <v>66.285714285714292</v>
      </c>
      <c r="J136" s="7">
        <v>0</v>
      </c>
    </row>
    <row r="137" spans="1:10" x14ac:dyDescent="0.3">
      <c r="A137" s="1">
        <v>45870</v>
      </c>
      <c r="B137">
        <v>32</v>
      </c>
      <c r="C137">
        <v>2025</v>
      </c>
      <c r="D137">
        <v>8</v>
      </c>
      <c r="E137" t="s">
        <v>8</v>
      </c>
      <c r="F137" s="7">
        <v>30.328571428571429</v>
      </c>
      <c r="G137" s="7">
        <v>38.471428571428575</v>
      </c>
      <c r="H137" s="7">
        <v>25.3</v>
      </c>
      <c r="I137" s="7">
        <v>68.571428571428569</v>
      </c>
      <c r="J137" s="7">
        <v>7.11</v>
      </c>
    </row>
    <row r="138" spans="1:10" x14ac:dyDescent="0.3">
      <c r="A138" s="1">
        <v>45870</v>
      </c>
      <c r="B138">
        <v>33</v>
      </c>
      <c r="C138">
        <v>2025</v>
      </c>
      <c r="D138">
        <v>8</v>
      </c>
      <c r="E138" t="s">
        <v>8</v>
      </c>
      <c r="F138" s="7">
        <v>29.61428571428571</v>
      </c>
      <c r="G138" s="7">
        <v>36.771428571428565</v>
      </c>
      <c r="H138" s="7">
        <v>24.914285714285715</v>
      </c>
      <c r="I138" s="7">
        <v>73.428571428571431</v>
      </c>
      <c r="J138" s="7">
        <v>8.64</v>
      </c>
    </row>
    <row r="139" spans="1:10" x14ac:dyDescent="0.3">
      <c r="A139" s="1">
        <v>45870</v>
      </c>
      <c r="B139">
        <v>34</v>
      </c>
      <c r="C139">
        <v>2025</v>
      </c>
      <c r="D139">
        <v>8</v>
      </c>
      <c r="E139" t="s">
        <v>8</v>
      </c>
      <c r="F139" s="7">
        <v>30.1</v>
      </c>
      <c r="G139" s="7">
        <v>37.557142857142857</v>
      </c>
      <c r="H139" s="7">
        <v>24.942857142857147</v>
      </c>
      <c r="I139" s="7">
        <v>71.285714285714292</v>
      </c>
      <c r="J139" s="7">
        <v>9.4</v>
      </c>
    </row>
    <row r="140" spans="1:10" x14ac:dyDescent="0.3">
      <c r="A140" s="1">
        <v>45870</v>
      </c>
      <c r="B140">
        <v>35</v>
      </c>
      <c r="C140">
        <v>2025</v>
      </c>
      <c r="D140">
        <v>8</v>
      </c>
      <c r="E140" t="s">
        <v>8</v>
      </c>
      <c r="F140" s="7">
        <v>29.4</v>
      </c>
      <c r="G140" s="7">
        <v>37</v>
      </c>
      <c r="H140" s="7">
        <v>26</v>
      </c>
      <c r="I140" s="7">
        <v>75</v>
      </c>
      <c r="J140" s="7">
        <v>0</v>
      </c>
    </row>
    <row r="141" spans="1:10" x14ac:dyDescent="0.3">
      <c r="A141" s="1">
        <v>45901</v>
      </c>
      <c r="B141">
        <v>36</v>
      </c>
      <c r="C141">
        <v>2025</v>
      </c>
      <c r="D141">
        <v>9</v>
      </c>
      <c r="E141" t="s">
        <v>9</v>
      </c>
      <c r="F141" s="7">
        <v>32.057142857142864</v>
      </c>
      <c r="G141" s="7">
        <v>37.957142857142863</v>
      </c>
      <c r="H141" s="7">
        <v>26.25714285714286</v>
      </c>
      <c r="I141" s="7">
        <v>65.142857142857139</v>
      </c>
      <c r="J141" s="7">
        <v>0</v>
      </c>
    </row>
    <row r="142" spans="1:10" x14ac:dyDescent="0.3">
      <c r="A142" s="1">
        <v>45901</v>
      </c>
      <c r="B142">
        <v>37</v>
      </c>
      <c r="C142">
        <v>2025</v>
      </c>
      <c r="D142">
        <v>9</v>
      </c>
      <c r="E142" t="s">
        <v>9</v>
      </c>
      <c r="F142" s="7">
        <v>32.657142857142858</v>
      </c>
      <c r="G142" s="7">
        <v>39.085714285714289</v>
      </c>
      <c r="H142" s="7">
        <v>26.085714285714285</v>
      </c>
      <c r="I142" s="7">
        <v>61.571428571428569</v>
      </c>
      <c r="J142" s="7">
        <v>0</v>
      </c>
    </row>
    <row r="143" spans="1:10" x14ac:dyDescent="0.3">
      <c r="A143" s="1">
        <v>45901</v>
      </c>
      <c r="B143">
        <v>38</v>
      </c>
      <c r="C143">
        <v>2025</v>
      </c>
      <c r="D143">
        <v>9</v>
      </c>
      <c r="E143" t="s">
        <v>9</v>
      </c>
      <c r="F143" s="7">
        <v>31.942857142857147</v>
      </c>
      <c r="G143" s="7">
        <v>38.057142857142857</v>
      </c>
      <c r="H143" s="7">
        <v>25.685714285714287</v>
      </c>
      <c r="I143" s="7">
        <v>63.857142857142854</v>
      </c>
      <c r="J143" s="7">
        <v>0</v>
      </c>
    </row>
    <row r="144" spans="1:10" x14ac:dyDescent="0.3">
      <c r="A144" s="1">
        <v>45901</v>
      </c>
      <c r="B144">
        <v>39</v>
      </c>
      <c r="C144">
        <v>2025</v>
      </c>
      <c r="D144">
        <v>9</v>
      </c>
      <c r="E144" t="s">
        <v>9</v>
      </c>
      <c r="F144" s="7">
        <v>33.085714285714289</v>
      </c>
      <c r="G144" s="7">
        <v>38.31428571428571</v>
      </c>
      <c r="H144" s="7">
        <v>26.8</v>
      </c>
      <c r="I144" s="7">
        <v>61.428571428571431</v>
      </c>
      <c r="J144" s="7">
        <v>2.54</v>
      </c>
    </row>
    <row r="145" spans="1:10" x14ac:dyDescent="0.3">
      <c r="A145" s="1">
        <v>45931</v>
      </c>
      <c r="B145">
        <v>40</v>
      </c>
      <c r="C145">
        <v>2025</v>
      </c>
      <c r="D145">
        <v>10</v>
      </c>
      <c r="E145" t="s">
        <v>10</v>
      </c>
      <c r="F145" s="7">
        <v>30.871428571428574</v>
      </c>
      <c r="G145" s="7">
        <v>36.800000000000004</v>
      </c>
      <c r="H145" s="7">
        <v>25.857142857142858</v>
      </c>
      <c r="I145" s="7">
        <v>63.142857142857146</v>
      </c>
      <c r="J145" s="7">
        <v>0</v>
      </c>
    </row>
    <row r="146" spans="1:10" x14ac:dyDescent="0.3">
      <c r="A146" s="1">
        <v>45931</v>
      </c>
      <c r="B146">
        <v>41</v>
      </c>
      <c r="C146">
        <v>2025</v>
      </c>
      <c r="D146">
        <v>10</v>
      </c>
      <c r="E146" t="s">
        <v>10</v>
      </c>
      <c r="F146" s="7">
        <v>28.214285714285715</v>
      </c>
      <c r="G146" s="7">
        <v>33.342857142857142</v>
      </c>
      <c r="H146" s="7">
        <v>23.685714285714287</v>
      </c>
      <c r="I146" s="7">
        <v>69.714285714285708</v>
      </c>
      <c r="J146" s="7">
        <v>0</v>
      </c>
    </row>
    <row r="147" spans="1:10" x14ac:dyDescent="0.3">
      <c r="A147" s="1">
        <v>45931</v>
      </c>
      <c r="B147">
        <v>42</v>
      </c>
      <c r="C147">
        <v>2025</v>
      </c>
      <c r="D147">
        <v>10</v>
      </c>
      <c r="E147" t="s">
        <v>10</v>
      </c>
      <c r="F147" s="7">
        <v>30.657142857142862</v>
      </c>
      <c r="G147" s="7">
        <v>36.514285714285712</v>
      </c>
      <c r="H147" s="7">
        <v>25.085714285714285</v>
      </c>
      <c r="I147" s="7">
        <v>68.428571428571431</v>
      </c>
      <c r="J147" s="7">
        <v>0</v>
      </c>
    </row>
    <row r="148" spans="1:10" x14ac:dyDescent="0.3">
      <c r="A148" s="1">
        <v>45931</v>
      </c>
      <c r="B148">
        <v>43</v>
      </c>
      <c r="C148">
        <v>2025</v>
      </c>
      <c r="D148">
        <v>10</v>
      </c>
      <c r="E148" t="s">
        <v>10</v>
      </c>
      <c r="F148" s="7">
        <v>25.7</v>
      </c>
      <c r="G148" s="7">
        <v>30.87142857142857</v>
      </c>
      <c r="H148" s="7">
        <v>20.885714285714283</v>
      </c>
      <c r="I148" s="7">
        <v>73.714285714285708</v>
      </c>
      <c r="J148" s="7">
        <v>0</v>
      </c>
    </row>
    <row r="149" spans="1:10" x14ac:dyDescent="0.3">
      <c r="A149" s="1">
        <v>45962</v>
      </c>
      <c r="B149">
        <v>44</v>
      </c>
      <c r="C149">
        <v>2025</v>
      </c>
      <c r="D149">
        <v>11</v>
      </c>
      <c r="E149" t="s">
        <v>11</v>
      </c>
      <c r="F149" s="7">
        <v>28.1</v>
      </c>
      <c r="G149" s="7">
        <v>34.628571428571426</v>
      </c>
      <c r="H149" s="7">
        <v>20.571428571428573</v>
      </c>
      <c r="I149" s="7">
        <v>58.428571428571431</v>
      </c>
      <c r="J149" s="7">
        <v>0</v>
      </c>
    </row>
    <row r="150" spans="1:10" x14ac:dyDescent="0.3">
      <c r="A150" s="1">
        <v>45962</v>
      </c>
      <c r="B150">
        <v>45</v>
      </c>
      <c r="C150">
        <v>2025</v>
      </c>
      <c r="D150">
        <v>11</v>
      </c>
      <c r="E150" t="s">
        <v>11</v>
      </c>
      <c r="F150" s="7">
        <v>27.428571428571427</v>
      </c>
      <c r="G150" s="7">
        <v>33.6</v>
      </c>
      <c r="H150" s="7">
        <v>21.314285714285717</v>
      </c>
      <c r="I150" s="7">
        <v>66.428571428571431</v>
      </c>
      <c r="J150" s="7">
        <v>0</v>
      </c>
    </row>
    <row r="151" spans="1:10" x14ac:dyDescent="0.3">
      <c r="A151" s="1">
        <v>45962</v>
      </c>
      <c r="B151">
        <v>46</v>
      </c>
      <c r="C151">
        <v>2025</v>
      </c>
      <c r="D151">
        <v>11</v>
      </c>
      <c r="E151" t="s">
        <v>11</v>
      </c>
      <c r="F151" s="7">
        <v>27.74285714285714</v>
      </c>
      <c r="G151" s="7">
        <v>35.299999999999997</v>
      </c>
      <c r="H151" s="7">
        <v>19.342857142857145</v>
      </c>
      <c r="I151" s="7">
        <v>55.142857142857146</v>
      </c>
      <c r="J151" s="7">
        <v>0</v>
      </c>
    </row>
    <row r="152" spans="1:10" x14ac:dyDescent="0.3">
      <c r="A152" s="1">
        <v>45962</v>
      </c>
      <c r="B152">
        <v>47</v>
      </c>
      <c r="C152">
        <v>2025</v>
      </c>
      <c r="D152">
        <v>11</v>
      </c>
      <c r="E152" t="s">
        <v>11</v>
      </c>
      <c r="F152" s="7">
        <v>25.6</v>
      </c>
      <c r="G152" s="7">
        <v>32.5</v>
      </c>
      <c r="H152" s="7">
        <v>17.285714285714285</v>
      </c>
      <c r="I152" s="7">
        <v>50.857142857142854</v>
      </c>
      <c r="J152" s="7">
        <v>0</v>
      </c>
    </row>
    <row r="153" spans="1:10" x14ac:dyDescent="0.3">
      <c r="A153" s="1">
        <v>45962</v>
      </c>
      <c r="B153">
        <v>48</v>
      </c>
      <c r="C153">
        <v>2025</v>
      </c>
      <c r="D153">
        <v>11</v>
      </c>
      <c r="E153" t="s">
        <v>11</v>
      </c>
      <c r="F153" s="7">
        <v>24.300000000000004</v>
      </c>
      <c r="G153" s="7">
        <v>32.200000000000003</v>
      </c>
      <c r="H153" s="7">
        <v>15.657142857142857</v>
      </c>
      <c r="I153" s="7">
        <v>52</v>
      </c>
      <c r="J153" s="7">
        <v>0</v>
      </c>
    </row>
    <row r="154" spans="1:10" x14ac:dyDescent="0.3">
      <c r="A154" s="1">
        <v>45992</v>
      </c>
      <c r="B154">
        <v>49</v>
      </c>
      <c r="C154">
        <v>2025</v>
      </c>
      <c r="D154">
        <v>12</v>
      </c>
      <c r="E154" t="s">
        <v>1</v>
      </c>
      <c r="F154" s="7">
        <v>24.75714285714286</v>
      </c>
      <c r="G154" s="7">
        <v>33.485714285714288</v>
      </c>
      <c r="H154" s="7">
        <v>12.942857142857145</v>
      </c>
      <c r="I154" s="7">
        <v>45.571428571428569</v>
      </c>
      <c r="J154" s="7">
        <v>0</v>
      </c>
    </row>
    <row r="155" spans="1:10" x14ac:dyDescent="0.3">
      <c r="A155" s="1">
        <v>45992</v>
      </c>
      <c r="B155">
        <v>50</v>
      </c>
      <c r="C155">
        <v>2025</v>
      </c>
      <c r="D155">
        <v>12</v>
      </c>
      <c r="E155" t="s">
        <v>1</v>
      </c>
      <c r="F155" s="7">
        <v>24.157142857142862</v>
      </c>
      <c r="G155" s="7">
        <v>33.242857142857147</v>
      </c>
      <c r="H155" s="7">
        <v>13.085714285714287</v>
      </c>
      <c r="I155" s="7">
        <v>48.142857142857146</v>
      </c>
      <c r="J155" s="7">
        <v>0</v>
      </c>
    </row>
    <row r="156" spans="1:10" x14ac:dyDescent="0.3">
      <c r="A156" s="1">
        <v>45992</v>
      </c>
      <c r="B156">
        <v>51</v>
      </c>
      <c r="C156">
        <v>2025</v>
      </c>
      <c r="D156">
        <v>12</v>
      </c>
      <c r="E156" t="s">
        <v>1</v>
      </c>
      <c r="F156" s="7">
        <v>24.785714285714285</v>
      </c>
      <c r="G156" s="7">
        <v>32.442857142857143</v>
      </c>
      <c r="H156" s="7">
        <v>16.014285714285716</v>
      </c>
      <c r="I156" s="7">
        <v>58</v>
      </c>
      <c r="J156" s="7">
        <v>0</v>
      </c>
    </row>
    <row r="157" spans="1:10" x14ac:dyDescent="0.3">
      <c r="A157" s="1">
        <v>45992</v>
      </c>
      <c r="B157">
        <v>52</v>
      </c>
      <c r="C157">
        <v>2025</v>
      </c>
      <c r="D157">
        <v>12</v>
      </c>
      <c r="E157" t="s">
        <v>1</v>
      </c>
      <c r="F157" s="7">
        <v>20.957142857142856</v>
      </c>
      <c r="G157" s="7">
        <v>28.37142857142857</v>
      </c>
      <c r="H157" s="7">
        <v>12.857142857142858</v>
      </c>
      <c r="I157" s="7">
        <v>54.428571428571431</v>
      </c>
      <c r="J157" s="7">
        <v>0</v>
      </c>
    </row>
  </sheetData>
  <printOptions horizontalCentered="1"/>
  <pageMargins left="0.31496062992125984" right="0.31496062992125984" top="0.35433070866141736" bottom="0.35433070866141736" header="0.31496062992125984" footer="0.31496062992125984"/>
  <pageSetup scale="68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30350-F807-4DA0-BDC5-CE5AA7BB42A6}">
  <sheetPr>
    <tabColor rgb="FF00B050"/>
    <pageSetUpPr fitToPage="1"/>
  </sheetPr>
  <dimension ref="A1:F157"/>
  <sheetViews>
    <sheetView showGridLines="0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E1" sqref="E1:F1"/>
    </sheetView>
  </sheetViews>
  <sheetFormatPr baseColWidth="10" defaultRowHeight="14.4" x14ac:dyDescent="0.3"/>
  <cols>
    <col min="2" max="3" width="6.21875" customWidth="1"/>
    <col min="4" max="4" width="12" customWidth="1"/>
  </cols>
  <sheetData>
    <row r="1" spans="1:6" x14ac:dyDescent="0.3">
      <c r="A1" s="2" t="s">
        <v>13</v>
      </c>
      <c r="B1" s="3" t="s">
        <v>14</v>
      </c>
      <c r="C1" s="5" t="s">
        <v>15</v>
      </c>
      <c r="D1" s="5" t="s">
        <v>16</v>
      </c>
      <c r="E1" t="s">
        <v>28</v>
      </c>
      <c r="F1" t="s">
        <v>29</v>
      </c>
    </row>
    <row r="2" spans="1:6" x14ac:dyDescent="0.3">
      <c r="A2" s="1">
        <v>44927</v>
      </c>
      <c r="B2">
        <f>MONTH(A2)</f>
        <v>1</v>
      </c>
      <c r="C2" t="s">
        <v>0</v>
      </c>
      <c r="E2" s="7">
        <v>1051170.8972</v>
      </c>
      <c r="F2" s="7">
        <v>1123650.061991459</v>
      </c>
    </row>
    <row r="3" spans="1:6" x14ac:dyDescent="0.3">
      <c r="A3" s="1">
        <v>44958</v>
      </c>
      <c r="B3">
        <f t="shared" ref="B3:B13" si="0">MONTH(A3)</f>
        <v>2</v>
      </c>
      <c r="C3" t="s">
        <v>2</v>
      </c>
      <c r="E3" s="7">
        <v>1013534.2472000002</v>
      </c>
      <c r="F3" s="7">
        <v>1157891.504392049</v>
      </c>
    </row>
    <row r="4" spans="1:6" x14ac:dyDescent="0.3">
      <c r="A4" s="1">
        <v>44986</v>
      </c>
      <c r="B4">
        <f t="shared" si="0"/>
        <v>3</v>
      </c>
      <c r="C4" t="s">
        <v>3</v>
      </c>
      <c r="E4" s="7">
        <v>1198849.1756</v>
      </c>
      <c r="F4" s="7">
        <v>1188394.1293387043</v>
      </c>
    </row>
    <row r="5" spans="1:6" x14ac:dyDescent="0.3">
      <c r="A5" s="1">
        <v>45017</v>
      </c>
      <c r="B5">
        <f t="shared" si="0"/>
        <v>4</v>
      </c>
      <c r="C5" t="s">
        <v>4</v>
      </c>
      <c r="E5" s="7">
        <v>1135826.0756000001</v>
      </c>
      <c r="F5" s="7">
        <v>1213045.2125811232</v>
      </c>
    </row>
    <row r="6" spans="1:6" x14ac:dyDescent="0.3">
      <c r="A6" s="1">
        <v>45047</v>
      </c>
      <c r="B6">
        <f t="shared" si="0"/>
        <v>5</v>
      </c>
      <c r="C6" t="s">
        <v>5</v>
      </c>
      <c r="E6" s="7">
        <v>979200.61599999992</v>
      </c>
      <c r="F6" s="7">
        <v>1294798.1123357923</v>
      </c>
    </row>
    <row r="7" spans="1:6" x14ac:dyDescent="0.3">
      <c r="A7" s="1">
        <v>45078</v>
      </c>
      <c r="B7">
        <f t="shared" si="0"/>
        <v>6</v>
      </c>
      <c r="C7" t="s">
        <v>6</v>
      </c>
      <c r="E7" s="7">
        <v>963662.20719999983</v>
      </c>
      <c r="F7" s="7">
        <v>1186286.3305584227</v>
      </c>
    </row>
    <row r="8" spans="1:6" x14ac:dyDescent="0.3">
      <c r="A8" s="1">
        <v>45108</v>
      </c>
      <c r="B8">
        <f t="shared" si="0"/>
        <v>7</v>
      </c>
      <c r="C8" t="s">
        <v>7</v>
      </c>
      <c r="E8" s="7">
        <v>1159928.2972000004</v>
      </c>
      <c r="F8" s="7">
        <v>1107345.4883411475</v>
      </c>
    </row>
    <row r="9" spans="1:6" x14ac:dyDescent="0.3">
      <c r="A9" s="1">
        <v>45139</v>
      </c>
      <c r="B9">
        <f t="shared" si="0"/>
        <v>8</v>
      </c>
      <c r="C9" t="s">
        <v>8</v>
      </c>
      <c r="E9" s="7">
        <v>1197587.1971999998</v>
      </c>
      <c r="F9" s="7">
        <v>1145960.6000427227</v>
      </c>
    </row>
    <row r="10" spans="1:6" x14ac:dyDescent="0.3">
      <c r="A10" s="1">
        <v>45170</v>
      </c>
      <c r="B10">
        <f t="shared" si="0"/>
        <v>9</v>
      </c>
      <c r="C10" t="s">
        <v>9</v>
      </c>
      <c r="E10" s="7">
        <v>928752.28720000002</v>
      </c>
      <c r="F10" s="7">
        <v>1168744.4936416552</v>
      </c>
    </row>
    <row r="11" spans="1:6" x14ac:dyDescent="0.3">
      <c r="A11" s="1">
        <v>45200</v>
      </c>
      <c r="B11">
        <f t="shared" si="0"/>
        <v>10</v>
      </c>
      <c r="C11" t="s">
        <v>10</v>
      </c>
      <c r="E11" s="7">
        <v>1106644.0971999997</v>
      </c>
      <c r="F11" s="7">
        <v>1276944.8373788199</v>
      </c>
    </row>
    <row r="12" spans="1:6" x14ac:dyDescent="0.3">
      <c r="A12" s="1">
        <v>45231</v>
      </c>
      <c r="B12">
        <f t="shared" si="0"/>
        <v>11</v>
      </c>
      <c r="C12" t="s">
        <v>11</v>
      </c>
      <c r="E12" s="7">
        <v>1249673.4159999995</v>
      </c>
      <c r="F12" s="7">
        <v>1218013.5529151028</v>
      </c>
    </row>
    <row r="13" spans="1:6" x14ac:dyDescent="0.3">
      <c r="A13" s="1">
        <v>45261</v>
      </c>
      <c r="B13">
        <f t="shared" si="0"/>
        <v>12</v>
      </c>
      <c r="C13" t="s">
        <v>1</v>
      </c>
      <c r="E13" s="7">
        <v>1270411.4711</v>
      </c>
      <c r="F13" s="7">
        <v>1337261.5861253885</v>
      </c>
    </row>
    <row r="14" spans="1:6" x14ac:dyDescent="0.3">
      <c r="A14" s="1">
        <v>45292</v>
      </c>
      <c r="B14">
        <f>MONTH(A14)</f>
        <v>1</v>
      </c>
      <c r="C14" t="s">
        <v>0</v>
      </c>
      <c r="E14" s="7">
        <v>896286.50939999998</v>
      </c>
      <c r="F14" s="7">
        <v>1176379.8814778142</v>
      </c>
    </row>
    <row r="15" spans="1:6" x14ac:dyDescent="0.3">
      <c r="A15" s="1">
        <v>45323</v>
      </c>
      <c r="B15">
        <f t="shared" ref="B15:B37" si="1">MONTH(A15)</f>
        <v>2</v>
      </c>
      <c r="C15" t="s">
        <v>2</v>
      </c>
      <c r="E15" s="7">
        <v>1168417.0385</v>
      </c>
      <c r="F15" s="7">
        <v>1113470.3364687534</v>
      </c>
    </row>
    <row r="16" spans="1:6" x14ac:dyDescent="0.3">
      <c r="A16" s="1">
        <v>45352</v>
      </c>
      <c r="B16">
        <f t="shared" si="1"/>
        <v>3</v>
      </c>
      <c r="C16" t="s">
        <v>3</v>
      </c>
      <c r="E16" s="7">
        <v>1106873.8835</v>
      </c>
      <c r="F16" s="7">
        <v>1143738.8534746512</v>
      </c>
    </row>
    <row r="17" spans="1:6" x14ac:dyDescent="0.3">
      <c r="A17" s="1">
        <v>45383</v>
      </c>
      <c r="B17">
        <f t="shared" si="1"/>
        <v>4</v>
      </c>
      <c r="C17" t="s">
        <v>4</v>
      </c>
      <c r="E17" s="7">
        <v>1081762.7725000002</v>
      </c>
      <c r="F17" s="7">
        <v>1269422.6467716829</v>
      </c>
    </row>
    <row r="18" spans="1:6" x14ac:dyDescent="0.3">
      <c r="A18" s="1">
        <v>45413</v>
      </c>
      <c r="B18">
        <f t="shared" si="1"/>
        <v>5</v>
      </c>
      <c r="C18" t="s">
        <v>5</v>
      </c>
      <c r="E18" s="7">
        <v>1205923.5919000001</v>
      </c>
      <c r="F18" s="7">
        <v>1124484.2317716831</v>
      </c>
    </row>
    <row r="19" spans="1:6" x14ac:dyDescent="0.3">
      <c r="A19" s="1">
        <v>45444</v>
      </c>
      <c r="B19">
        <f t="shared" si="1"/>
        <v>6</v>
      </c>
      <c r="C19" t="s">
        <v>6</v>
      </c>
      <c r="E19" s="7">
        <v>1131156.1885000002</v>
      </c>
      <c r="F19" s="7">
        <v>1134749.481335436</v>
      </c>
    </row>
    <row r="20" spans="1:6" x14ac:dyDescent="0.3">
      <c r="A20" s="1">
        <v>45474</v>
      </c>
      <c r="B20">
        <f t="shared" si="1"/>
        <v>7</v>
      </c>
      <c r="C20" t="s">
        <v>7</v>
      </c>
      <c r="E20" s="7">
        <v>1125531.2983999997</v>
      </c>
      <c r="F20" s="7">
        <v>1168079.9903144361</v>
      </c>
    </row>
    <row r="21" spans="1:6" x14ac:dyDescent="0.3">
      <c r="A21" s="1">
        <v>45505</v>
      </c>
      <c r="B21">
        <f t="shared" si="1"/>
        <v>8</v>
      </c>
      <c r="C21" t="s">
        <v>8</v>
      </c>
      <c r="E21" s="7">
        <v>1047215.4885</v>
      </c>
      <c r="F21" s="7">
        <v>1193492.7701259961</v>
      </c>
    </row>
    <row r="22" spans="1:6" x14ac:dyDescent="0.3">
      <c r="A22" s="1">
        <v>45536</v>
      </c>
      <c r="B22">
        <f t="shared" si="1"/>
        <v>9</v>
      </c>
      <c r="C22" t="s">
        <v>9</v>
      </c>
      <c r="E22" s="7">
        <v>1050924.6139</v>
      </c>
      <c r="F22" s="7">
        <v>1067106.1784243293</v>
      </c>
    </row>
    <row r="23" spans="1:6" x14ac:dyDescent="0.3">
      <c r="A23" s="1">
        <v>45566</v>
      </c>
      <c r="B23">
        <f t="shared" si="1"/>
        <v>10</v>
      </c>
      <c r="C23" t="s">
        <v>10</v>
      </c>
      <c r="E23" s="7">
        <v>1380528.2645</v>
      </c>
      <c r="F23" s="7">
        <v>1379615.3480952994</v>
      </c>
    </row>
    <row r="24" spans="1:6" x14ac:dyDescent="0.3">
      <c r="A24" s="1">
        <v>45597</v>
      </c>
      <c r="B24">
        <f t="shared" si="1"/>
        <v>11</v>
      </c>
      <c r="C24" t="s">
        <v>11</v>
      </c>
      <c r="E24" s="7">
        <v>1165854.3517999998</v>
      </c>
      <c r="F24" s="7">
        <v>1202601.6137179388</v>
      </c>
    </row>
    <row r="25" spans="1:6" x14ac:dyDescent="0.3">
      <c r="A25" s="1">
        <v>45627</v>
      </c>
      <c r="B25">
        <f t="shared" si="1"/>
        <v>12</v>
      </c>
      <c r="C25" t="s">
        <v>1</v>
      </c>
      <c r="E25" s="7">
        <v>1238540.5718</v>
      </c>
      <c r="F25" s="7">
        <v>1267237.9753230524</v>
      </c>
    </row>
    <row r="26" spans="1:6" x14ac:dyDescent="0.3">
      <c r="A26" s="1">
        <v>45658</v>
      </c>
      <c r="B26">
        <f t="shared" si="1"/>
        <v>1</v>
      </c>
      <c r="C26" t="s">
        <v>0</v>
      </c>
      <c r="E26" s="7">
        <v>649303.72640000004</v>
      </c>
      <c r="F26" s="7">
        <v>1260938.747303989</v>
      </c>
    </row>
    <row r="27" spans="1:6" x14ac:dyDescent="0.3">
      <c r="A27" s="1">
        <v>45689</v>
      </c>
      <c r="B27">
        <f t="shared" si="1"/>
        <v>2</v>
      </c>
      <c r="C27" t="s">
        <v>2</v>
      </c>
      <c r="E27" s="7">
        <v>837264.76939999987</v>
      </c>
      <c r="F27" s="7">
        <v>1232788.0079234259</v>
      </c>
    </row>
    <row r="28" spans="1:6" x14ac:dyDescent="0.3">
      <c r="A28" s="1">
        <v>45717</v>
      </c>
      <c r="B28">
        <f t="shared" si="1"/>
        <v>3</v>
      </c>
      <c r="C28" t="s">
        <v>3</v>
      </c>
      <c r="E28" s="7">
        <v>2468904.2525000004</v>
      </c>
      <c r="F28" s="7">
        <v>1235221.3943675794</v>
      </c>
    </row>
    <row r="29" spans="1:6" x14ac:dyDescent="0.3">
      <c r="A29" s="1">
        <v>45748</v>
      </c>
      <c r="B29">
        <f t="shared" si="1"/>
        <v>4</v>
      </c>
      <c r="C29" t="s">
        <v>4</v>
      </c>
      <c r="E29" s="7">
        <v>1170681.3074999996</v>
      </c>
      <c r="F29" s="7">
        <v>1227958.5953478951</v>
      </c>
    </row>
    <row r="30" spans="1:6" x14ac:dyDescent="0.3">
      <c r="A30" s="1">
        <v>45778</v>
      </c>
      <c r="B30">
        <f t="shared" si="1"/>
        <v>5</v>
      </c>
      <c r="C30" t="s">
        <v>5</v>
      </c>
      <c r="E30" s="7">
        <v>1108438.0440999998</v>
      </c>
      <c r="F30" s="7">
        <v>1151074.9692182427</v>
      </c>
    </row>
    <row r="31" spans="1:6" x14ac:dyDescent="0.3">
      <c r="A31" s="1">
        <v>45809</v>
      </c>
      <c r="B31">
        <f t="shared" si="1"/>
        <v>6</v>
      </c>
      <c r="C31" t="s">
        <v>6</v>
      </c>
      <c r="E31" s="7">
        <v>1026225.6391999997</v>
      </c>
      <c r="F31" s="7">
        <v>1217697.1932176526</v>
      </c>
    </row>
    <row r="32" spans="1:6" x14ac:dyDescent="0.3">
      <c r="A32" s="1">
        <v>45839</v>
      </c>
      <c r="B32">
        <f t="shared" si="1"/>
        <v>7</v>
      </c>
      <c r="C32" t="s">
        <v>7</v>
      </c>
      <c r="E32" s="7">
        <v>1171333.5257000001</v>
      </c>
      <c r="F32" s="7">
        <v>1181568.6373727524</v>
      </c>
    </row>
    <row r="33" spans="1:6" x14ac:dyDescent="0.3">
      <c r="A33" s="1">
        <v>45870</v>
      </c>
      <c r="B33">
        <f t="shared" si="1"/>
        <v>8</v>
      </c>
      <c r="C33" t="s">
        <v>8</v>
      </c>
      <c r="E33" s="7">
        <v>992916.59190000012</v>
      </c>
      <c r="F33" s="7">
        <v>1124319.1643908527</v>
      </c>
    </row>
    <row r="34" spans="1:6" x14ac:dyDescent="0.3">
      <c r="A34" s="1">
        <v>45901</v>
      </c>
      <c r="B34">
        <f t="shared" si="1"/>
        <v>9</v>
      </c>
      <c r="C34" t="s">
        <v>9</v>
      </c>
      <c r="E34" s="7">
        <v>1068910.9453999999</v>
      </c>
      <c r="F34" s="7">
        <v>1156275.3800908525</v>
      </c>
    </row>
    <row r="35" spans="1:6" x14ac:dyDescent="0.3">
      <c r="A35" s="1">
        <v>45931</v>
      </c>
      <c r="B35">
        <f t="shared" si="1"/>
        <v>10</v>
      </c>
      <c r="C35" t="s">
        <v>10</v>
      </c>
      <c r="E35" s="7">
        <v>1149823.8025</v>
      </c>
      <c r="F35" s="7">
        <v>1345606.125758765</v>
      </c>
    </row>
    <row r="36" spans="1:6" x14ac:dyDescent="0.3">
      <c r="A36" s="1">
        <v>45962</v>
      </c>
      <c r="B36">
        <f t="shared" si="1"/>
        <v>11</v>
      </c>
      <c r="C36" t="s">
        <v>11</v>
      </c>
      <c r="E36" s="7">
        <v>1069331.8447999998</v>
      </c>
      <c r="F36" s="7">
        <v>1260124.6427332649</v>
      </c>
    </row>
    <row r="37" spans="1:6" x14ac:dyDescent="0.3">
      <c r="A37" s="1">
        <v>45992</v>
      </c>
      <c r="B37">
        <f t="shared" si="1"/>
        <v>12</v>
      </c>
      <c r="C37" t="s">
        <v>1</v>
      </c>
      <c r="E37" s="7">
        <v>1261468.2156999998</v>
      </c>
      <c r="F37" s="7">
        <v>1250328.7913425458</v>
      </c>
    </row>
    <row r="38" spans="1:6" x14ac:dyDescent="0.3">
      <c r="A38" s="1"/>
      <c r="E38" s="7"/>
      <c r="F38" s="7"/>
    </row>
    <row r="39" spans="1:6" x14ac:dyDescent="0.3">
      <c r="A39" s="1"/>
      <c r="E39" s="7"/>
      <c r="F39" s="7"/>
    </row>
    <row r="40" spans="1:6" x14ac:dyDescent="0.3">
      <c r="A40" s="1"/>
      <c r="E40" s="7"/>
      <c r="F40" s="7"/>
    </row>
    <row r="41" spans="1:6" x14ac:dyDescent="0.3">
      <c r="A41" s="1"/>
      <c r="E41" s="7"/>
      <c r="F41" s="7"/>
    </row>
    <row r="42" spans="1:6" x14ac:dyDescent="0.3">
      <c r="A42" s="1"/>
      <c r="E42" s="7"/>
      <c r="F42" s="7"/>
    </row>
    <row r="43" spans="1:6" x14ac:dyDescent="0.3">
      <c r="A43" s="1"/>
      <c r="E43" s="7"/>
      <c r="F43" s="7"/>
    </row>
    <row r="44" spans="1:6" x14ac:dyDescent="0.3">
      <c r="A44" s="1"/>
      <c r="E44" s="7"/>
      <c r="F44" s="7"/>
    </row>
    <row r="45" spans="1:6" x14ac:dyDescent="0.3">
      <c r="A45" s="1"/>
      <c r="E45" s="7"/>
      <c r="F45" s="7"/>
    </row>
    <row r="46" spans="1:6" x14ac:dyDescent="0.3">
      <c r="A46" s="1"/>
      <c r="E46" s="7"/>
      <c r="F46" s="7"/>
    </row>
    <row r="47" spans="1:6" x14ac:dyDescent="0.3">
      <c r="A47" s="1"/>
      <c r="E47" s="7"/>
      <c r="F47" s="7"/>
    </row>
    <row r="48" spans="1:6" x14ac:dyDescent="0.3">
      <c r="A48" s="1"/>
      <c r="E48" s="7"/>
      <c r="F48" s="7"/>
    </row>
    <row r="49" spans="1:6" x14ac:dyDescent="0.3">
      <c r="A49" s="1"/>
      <c r="E49" s="7"/>
      <c r="F49" s="7"/>
    </row>
    <row r="50" spans="1:6" x14ac:dyDescent="0.3">
      <c r="A50" s="1"/>
      <c r="E50" s="7"/>
      <c r="F50" s="7"/>
    </row>
    <row r="51" spans="1:6" x14ac:dyDescent="0.3">
      <c r="A51" s="1"/>
      <c r="E51" s="7"/>
      <c r="F51" s="7"/>
    </row>
    <row r="52" spans="1:6" x14ac:dyDescent="0.3">
      <c r="A52" s="1"/>
      <c r="E52" s="7"/>
      <c r="F52" s="7"/>
    </row>
    <row r="53" spans="1:6" x14ac:dyDescent="0.3">
      <c r="A53" s="1"/>
      <c r="E53" s="7"/>
      <c r="F53" s="7"/>
    </row>
    <row r="54" spans="1:6" x14ac:dyDescent="0.3">
      <c r="A54" s="1"/>
      <c r="E54" s="7"/>
      <c r="F54" s="7"/>
    </row>
    <row r="55" spans="1:6" x14ac:dyDescent="0.3">
      <c r="A55" s="1"/>
      <c r="E55" s="7"/>
      <c r="F55" s="7"/>
    </row>
    <row r="56" spans="1:6" x14ac:dyDescent="0.3">
      <c r="A56" s="1"/>
      <c r="E56" s="7"/>
      <c r="F56" s="7"/>
    </row>
    <row r="57" spans="1:6" x14ac:dyDescent="0.3">
      <c r="A57" s="1"/>
      <c r="E57" s="7"/>
      <c r="F57" s="7"/>
    </row>
    <row r="58" spans="1:6" x14ac:dyDescent="0.3">
      <c r="A58" s="1"/>
      <c r="E58" s="7"/>
      <c r="F58" s="7"/>
    </row>
    <row r="59" spans="1:6" x14ac:dyDescent="0.3">
      <c r="A59" s="1"/>
      <c r="E59" s="7"/>
      <c r="F59" s="7"/>
    </row>
    <row r="60" spans="1:6" x14ac:dyDescent="0.3">
      <c r="A60" s="1"/>
      <c r="E60" s="7"/>
      <c r="F60" s="7"/>
    </row>
    <row r="61" spans="1:6" x14ac:dyDescent="0.3">
      <c r="A61" s="1"/>
      <c r="E61" s="7"/>
      <c r="F61" s="7"/>
    </row>
    <row r="62" spans="1:6" x14ac:dyDescent="0.3">
      <c r="A62" s="1"/>
      <c r="E62" s="7"/>
      <c r="F62" s="7"/>
    </row>
    <row r="63" spans="1:6" x14ac:dyDescent="0.3">
      <c r="A63" s="1"/>
      <c r="E63" s="7"/>
      <c r="F63" s="7"/>
    </row>
    <row r="64" spans="1:6" x14ac:dyDescent="0.3">
      <c r="A64" s="1"/>
      <c r="E64" s="7"/>
      <c r="F64" s="7"/>
    </row>
    <row r="65" spans="1:6" x14ac:dyDescent="0.3">
      <c r="A65" s="1"/>
      <c r="E65" s="7"/>
      <c r="F65" s="7"/>
    </row>
    <row r="66" spans="1:6" x14ac:dyDescent="0.3">
      <c r="A66" s="1"/>
      <c r="E66" s="7"/>
      <c r="F66" s="7"/>
    </row>
    <row r="67" spans="1:6" x14ac:dyDescent="0.3">
      <c r="A67" s="1"/>
      <c r="E67" s="7"/>
      <c r="F67" s="7"/>
    </row>
    <row r="68" spans="1:6" x14ac:dyDescent="0.3">
      <c r="A68" s="1"/>
      <c r="E68" s="7"/>
      <c r="F68" s="7"/>
    </row>
    <row r="69" spans="1:6" x14ac:dyDescent="0.3">
      <c r="A69" s="1"/>
      <c r="E69" s="7"/>
      <c r="F69" s="7"/>
    </row>
    <row r="70" spans="1:6" x14ac:dyDescent="0.3">
      <c r="A70" s="1"/>
      <c r="E70" s="7"/>
      <c r="F70" s="7"/>
    </row>
    <row r="71" spans="1:6" x14ac:dyDescent="0.3">
      <c r="A71" s="1"/>
      <c r="E71" s="7"/>
      <c r="F71" s="7"/>
    </row>
    <row r="72" spans="1:6" x14ac:dyDescent="0.3">
      <c r="A72" s="1"/>
      <c r="E72" s="7"/>
      <c r="F72" s="7"/>
    </row>
    <row r="73" spans="1:6" x14ac:dyDescent="0.3">
      <c r="A73" s="1"/>
      <c r="E73" s="7"/>
      <c r="F73" s="7"/>
    </row>
    <row r="74" spans="1:6" x14ac:dyDescent="0.3">
      <c r="A74" s="1"/>
      <c r="E74" s="7"/>
      <c r="F74" s="7"/>
    </row>
    <row r="75" spans="1:6" x14ac:dyDescent="0.3">
      <c r="A75" s="1"/>
      <c r="E75" s="7"/>
      <c r="F75" s="7"/>
    </row>
    <row r="76" spans="1:6" x14ac:dyDescent="0.3">
      <c r="A76" s="1"/>
      <c r="E76" s="7"/>
      <c r="F76" s="7"/>
    </row>
    <row r="77" spans="1:6" x14ac:dyDescent="0.3">
      <c r="A77" s="1"/>
      <c r="E77" s="7"/>
      <c r="F77" s="7"/>
    </row>
    <row r="78" spans="1:6" x14ac:dyDescent="0.3">
      <c r="A78" s="1"/>
      <c r="E78" s="7"/>
      <c r="F78" s="7"/>
    </row>
    <row r="79" spans="1:6" x14ac:dyDescent="0.3">
      <c r="A79" s="1"/>
      <c r="E79" s="7"/>
      <c r="F79" s="7"/>
    </row>
    <row r="80" spans="1:6" x14ac:dyDescent="0.3">
      <c r="A80" s="1"/>
      <c r="E80" s="7"/>
      <c r="F80" s="7"/>
    </row>
    <row r="81" spans="1:6" x14ac:dyDescent="0.3">
      <c r="A81" s="1"/>
      <c r="E81" s="7"/>
      <c r="F81" s="7"/>
    </row>
    <row r="82" spans="1:6" x14ac:dyDescent="0.3">
      <c r="A82" s="1"/>
      <c r="E82" s="7"/>
      <c r="F82" s="7"/>
    </row>
    <row r="83" spans="1:6" x14ac:dyDescent="0.3">
      <c r="A83" s="1"/>
      <c r="E83" s="7"/>
      <c r="F83" s="7"/>
    </row>
    <row r="84" spans="1:6" x14ac:dyDescent="0.3">
      <c r="A84" s="1"/>
      <c r="E84" s="7"/>
      <c r="F84" s="7"/>
    </row>
    <row r="85" spans="1:6" x14ac:dyDescent="0.3">
      <c r="A85" s="1"/>
      <c r="E85" s="7"/>
      <c r="F85" s="7"/>
    </row>
    <row r="86" spans="1:6" x14ac:dyDescent="0.3">
      <c r="A86" s="1"/>
      <c r="E86" s="7"/>
      <c r="F86" s="7"/>
    </row>
    <row r="87" spans="1:6" x14ac:dyDescent="0.3">
      <c r="A87" s="1"/>
      <c r="E87" s="7"/>
      <c r="F87" s="7"/>
    </row>
    <row r="88" spans="1:6" x14ac:dyDescent="0.3">
      <c r="A88" s="1"/>
      <c r="E88" s="7"/>
      <c r="F88" s="7"/>
    </row>
    <row r="89" spans="1:6" x14ac:dyDescent="0.3">
      <c r="A89" s="1"/>
      <c r="E89" s="7"/>
      <c r="F89" s="7"/>
    </row>
    <row r="90" spans="1:6" x14ac:dyDescent="0.3">
      <c r="A90" s="1"/>
      <c r="E90" s="7"/>
      <c r="F90" s="7"/>
    </row>
    <row r="91" spans="1:6" x14ac:dyDescent="0.3">
      <c r="A91" s="1"/>
      <c r="E91" s="7"/>
      <c r="F91" s="7"/>
    </row>
    <row r="92" spans="1:6" x14ac:dyDescent="0.3">
      <c r="A92" s="1"/>
      <c r="E92" s="7"/>
      <c r="F92" s="7"/>
    </row>
    <row r="93" spans="1:6" x14ac:dyDescent="0.3">
      <c r="A93" s="1"/>
      <c r="E93" s="7"/>
      <c r="F93" s="7"/>
    </row>
    <row r="94" spans="1:6" x14ac:dyDescent="0.3">
      <c r="A94" s="1"/>
      <c r="E94" s="7"/>
      <c r="F94" s="7"/>
    </row>
    <row r="95" spans="1:6" x14ac:dyDescent="0.3">
      <c r="A95" s="1"/>
      <c r="E95" s="7"/>
      <c r="F95" s="7"/>
    </row>
    <row r="96" spans="1:6" x14ac:dyDescent="0.3">
      <c r="A96" s="1"/>
      <c r="E96" s="7"/>
      <c r="F96" s="7"/>
    </row>
    <row r="97" spans="1:6" x14ac:dyDescent="0.3">
      <c r="A97" s="1"/>
      <c r="E97" s="7"/>
      <c r="F97" s="7"/>
    </row>
    <row r="98" spans="1:6" x14ac:dyDescent="0.3">
      <c r="A98" s="1"/>
      <c r="E98" s="7"/>
      <c r="F98" s="7"/>
    </row>
    <row r="99" spans="1:6" x14ac:dyDescent="0.3">
      <c r="A99" s="1"/>
      <c r="E99" s="7"/>
      <c r="F99" s="7"/>
    </row>
    <row r="100" spans="1:6" x14ac:dyDescent="0.3">
      <c r="A100" s="1"/>
      <c r="E100" s="7"/>
      <c r="F100" s="7"/>
    </row>
    <row r="101" spans="1:6" x14ac:dyDescent="0.3">
      <c r="A101" s="1"/>
      <c r="E101" s="7"/>
      <c r="F101" s="7"/>
    </row>
    <row r="102" spans="1:6" x14ac:dyDescent="0.3">
      <c r="A102" s="1"/>
      <c r="E102" s="7"/>
      <c r="F102" s="7"/>
    </row>
    <row r="103" spans="1:6" x14ac:dyDescent="0.3">
      <c r="A103" s="1"/>
      <c r="E103" s="7"/>
      <c r="F103" s="7"/>
    </row>
    <row r="104" spans="1:6" x14ac:dyDescent="0.3">
      <c r="A104" s="1"/>
      <c r="E104" s="7"/>
      <c r="F104" s="7"/>
    </row>
    <row r="105" spans="1:6" x14ac:dyDescent="0.3">
      <c r="A105" s="1"/>
      <c r="E105" s="7"/>
      <c r="F105" s="7"/>
    </row>
    <row r="106" spans="1:6" x14ac:dyDescent="0.3">
      <c r="A106" s="1"/>
      <c r="E106" s="7"/>
      <c r="F106" s="7"/>
    </row>
    <row r="107" spans="1:6" x14ac:dyDescent="0.3">
      <c r="A107" s="1"/>
      <c r="E107" s="7"/>
      <c r="F107" s="7"/>
    </row>
    <row r="108" spans="1:6" x14ac:dyDescent="0.3">
      <c r="A108" s="1"/>
      <c r="E108" s="7"/>
      <c r="F108" s="7"/>
    </row>
    <row r="109" spans="1:6" x14ac:dyDescent="0.3">
      <c r="A109" s="1"/>
      <c r="E109" s="7"/>
      <c r="F109" s="7"/>
    </row>
    <row r="110" spans="1:6" x14ac:dyDescent="0.3">
      <c r="A110" s="1"/>
      <c r="E110" s="7"/>
      <c r="F110" s="7"/>
    </row>
    <row r="111" spans="1:6" x14ac:dyDescent="0.3">
      <c r="A111" s="1"/>
      <c r="E111" s="7"/>
      <c r="F111" s="7"/>
    </row>
    <row r="112" spans="1:6" x14ac:dyDescent="0.3">
      <c r="A112" s="1"/>
      <c r="E112" s="7"/>
      <c r="F112" s="7"/>
    </row>
    <row r="113" spans="1:6" x14ac:dyDescent="0.3">
      <c r="A113" s="1"/>
      <c r="E113" s="7"/>
      <c r="F113" s="7"/>
    </row>
    <row r="114" spans="1:6" x14ac:dyDescent="0.3">
      <c r="A114" s="1"/>
      <c r="E114" s="7"/>
      <c r="F114" s="7"/>
    </row>
    <row r="115" spans="1:6" x14ac:dyDescent="0.3">
      <c r="A115" s="1"/>
      <c r="E115" s="7"/>
      <c r="F115" s="7"/>
    </row>
    <row r="116" spans="1:6" x14ac:dyDescent="0.3">
      <c r="A116" s="1"/>
      <c r="E116" s="7"/>
      <c r="F116" s="7"/>
    </row>
    <row r="117" spans="1:6" x14ac:dyDescent="0.3">
      <c r="A117" s="1"/>
      <c r="E117" s="7"/>
      <c r="F117" s="7"/>
    </row>
    <row r="118" spans="1:6" x14ac:dyDescent="0.3">
      <c r="A118" s="1"/>
      <c r="E118" s="7"/>
      <c r="F118" s="7"/>
    </row>
    <row r="119" spans="1:6" x14ac:dyDescent="0.3">
      <c r="A119" s="1"/>
      <c r="E119" s="7"/>
      <c r="F119" s="7"/>
    </row>
    <row r="120" spans="1:6" x14ac:dyDescent="0.3">
      <c r="A120" s="1"/>
      <c r="E120" s="7"/>
      <c r="F120" s="7"/>
    </row>
    <row r="121" spans="1:6" x14ac:dyDescent="0.3">
      <c r="A121" s="1"/>
      <c r="E121" s="7"/>
      <c r="F121" s="7"/>
    </row>
    <row r="122" spans="1:6" x14ac:dyDescent="0.3">
      <c r="A122" s="1"/>
      <c r="E122" s="7"/>
      <c r="F122" s="7"/>
    </row>
    <row r="123" spans="1:6" x14ac:dyDescent="0.3">
      <c r="A123" s="1"/>
      <c r="E123" s="7"/>
      <c r="F123" s="7"/>
    </row>
    <row r="124" spans="1:6" x14ac:dyDescent="0.3">
      <c r="A124" s="1"/>
      <c r="E124" s="7"/>
      <c r="F124" s="7"/>
    </row>
    <row r="125" spans="1:6" x14ac:dyDescent="0.3">
      <c r="A125" s="1"/>
      <c r="E125" s="7"/>
      <c r="F125" s="7"/>
    </row>
    <row r="126" spans="1:6" x14ac:dyDescent="0.3">
      <c r="A126" s="1"/>
      <c r="E126" s="7"/>
      <c r="F126" s="7"/>
    </row>
    <row r="127" spans="1:6" x14ac:dyDescent="0.3">
      <c r="A127" s="1"/>
      <c r="E127" s="7"/>
      <c r="F127" s="7"/>
    </row>
    <row r="128" spans="1:6" x14ac:dyDescent="0.3">
      <c r="A128" s="1"/>
      <c r="E128" s="7"/>
      <c r="F128" s="7"/>
    </row>
    <row r="129" spans="1:6" x14ac:dyDescent="0.3">
      <c r="A129" s="1"/>
      <c r="E129" s="7"/>
      <c r="F129" s="7"/>
    </row>
    <row r="130" spans="1:6" x14ac:dyDescent="0.3">
      <c r="A130" s="1"/>
      <c r="E130" s="7"/>
      <c r="F130" s="7"/>
    </row>
    <row r="131" spans="1:6" x14ac:dyDescent="0.3">
      <c r="A131" s="1"/>
      <c r="E131" s="7"/>
      <c r="F131" s="7"/>
    </row>
    <row r="132" spans="1:6" x14ac:dyDescent="0.3">
      <c r="A132" s="1"/>
      <c r="E132" s="7"/>
      <c r="F132" s="7"/>
    </row>
    <row r="133" spans="1:6" x14ac:dyDescent="0.3">
      <c r="A133" s="1"/>
      <c r="E133" s="7"/>
      <c r="F133" s="7"/>
    </row>
    <row r="134" spans="1:6" x14ac:dyDescent="0.3">
      <c r="A134" s="1"/>
      <c r="E134" s="7"/>
      <c r="F134" s="7"/>
    </row>
    <row r="135" spans="1:6" x14ac:dyDescent="0.3">
      <c r="A135" s="1"/>
      <c r="E135" s="7"/>
      <c r="F135" s="7"/>
    </row>
    <row r="136" spans="1:6" x14ac:dyDescent="0.3">
      <c r="A136" s="1"/>
      <c r="E136" s="7"/>
      <c r="F136" s="7"/>
    </row>
    <row r="137" spans="1:6" x14ac:dyDescent="0.3">
      <c r="A137" s="1"/>
      <c r="E137" s="7"/>
      <c r="F137" s="7"/>
    </row>
    <row r="138" spans="1:6" x14ac:dyDescent="0.3">
      <c r="A138" s="1"/>
      <c r="E138" s="7"/>
      <c r="F138" s="7"/>
    </row>
    <row r="139" spans="1:6" x14ac:dyDescent="0.3">
      <c r="A139" s="1"/>
      <c r="E139" s="7"/>
      <c r="F139" s="7"/>
    </row>
    <row r="140" spans="1:6" x14ac:dyDescent="0.3">
      <c r="A140" s="1"/>
      <c r="E140" s="7"/>
      <c r="F140" s="7"/>
    </row>
    <row r="141" spans="1:6" x14ac:dyDescent="0.3">
      <c r="A141" s="1"/>
      <c r="E141" s="7"/>
      <c r="F141" s="7"/>
    </row>
    <row r="142" spans="1:6" x14ac:dyDescent="0.3">
      <c r="A142" s="1"/>
      <c r="E142" s="7"/>
      <c r="F142" s="7"/>
    </row>
    <row r="143" spans="1:6" x14ac:dyDescent="0.3">
      <c r="A143" s="1"/>
      <c r="E143" s="7"/>
      <c r="F143" s="7"/>
    </row>
    <row r="144" spans="1:6" x14ac:dyDescent="0.3">
      <c r="A144" s="1"/>
      <c r="E144" s="7"/>
      <c r="F144" s="7"/>
    </row>
    <row r="145" spans="1:6" x14ac:dyDescent="0.3">
      <c r="A145" s="1"/>
      <c r="E145" s="7"/>
      <c r="F145" s="7"/>
    </row>
    <row r="146" spans="1:6" x14ac:dyDescent="0.3">
      <c r="A146" s="1"/>
      <c r="E146" s="7"/>
      <c r="F146" s="7"/>
    </row>
    <row r="147" spans="1:6" x14ac:dyDescent="0.3">
      <c r="A147" s="1"/>
      <c r="E147" s="7"/>
      <c r="F147" s="7"/>
    </row>
    <row r="148" spans="1:6" x14ac:dyDescent="0.3">
      <c r="A148" s="1"/>
      <c r="E148" s="7"/>
      <c r="F148" s="7"/>
    </row>
    <row r="149" spans="1:6" x14ac:dyDescent="0.3">
      <c r="A149" s="1"/>
      <c r="E149" s="7"/>
      <c r="F149" s="7"/>
    </row>
    <row r="150" spans="1:6" x14ac:dyDescent="0.3">
      <c r="A150" s="1"/>
      <c r="E150" s="7"/>
      <c r="F150" s="7"/>
    </row>
    <row r="151" spans="1:6" x14ac:dyDescent="0.3">
      <c r="A151" s="1"/>
      <c r="E151" s="7"/>
      <c r="F151" s="7"/>
    </row>
    <row r="152" spans="1:6" x14ac:dyDescent="0.3">
      <c r="A152" s="1"/>
      <c r="E152" s="7"/>
      <c r="F152" s="7"/>
    </row>
    <row r="153" spans="1:6" x14ac:dyDescent="0.3">
      <c r="A153" s="1"/>
      <c r="E153" s="7"/>
      <c r="F153" s="7"/>
    </row>
    <row r="154" spans="1:6" x14ac:dyDescent="0.3">
      <c r="A154" s="1"/>
      <c r="E154" s="7"/>
      <c r="F154" s="7"/>
    </row>
    <row r="155" spans="1:6" x14ac:dyDescent="0.3">
      <c r="A155" s="1"/>
      <c r="E155" s="7"/>
      <c r="F155" s="7"/>
    </row>
    <row r="156" spans="1:6" x14ac:dyDescent="0.3">
      <c r="A156" s="1"/>
      <c r="E156" s="7"/>
      <c r="F156" s="7"/>
    </row>
    <row r="157" spans="1:6" x14ac:dyDescent="0.3">
      <c r="A157" s="1"/>
      <c r="E157" s="7"/>
      <c r="F157" s="7"/>
    </row>
  </sheetData>
  <printOptions horizontalCentered="1"/>
  <pageMargins left="0.31496062992125984" right="0.31496062992125984" top="0.35433070866141736" bottom="0.35433070866141736" header="0.31496062992125984" footer="0.31496062992125984"/>
  <pageSetup scale="68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98AB1-8378-4644-95E0-5E825DC9221E}">
  <sheetPr>
    <tabColor rgb="FF00B050"/>
    <pageSetUpPr fitToPage="1"/>
  </sheetPr>
  <dimension ref="A1:E157"/>
  <sheetViews>
    <sheetView showGridLines="0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C7" sqref="C7"/>
    </sheetView>
  </sheetViews>
  <sheetFormatPr baseColWidth="10" defaultRowHeight="14.4" x14ac:dyDescent="0.3"/>
  <cols>
    <col min="2" max="3" width="6.21875" customWidth="1"/>
    <col min="4" max="4" width="12" customWidth="1"/>
  </cols>
  <sheetData>
    <row r="1" spans="1:5" x14ac:dyDescent="0.3">
      <c r="A1" s="2" t="s">
        <v>13</v>
      </c>
      <c r="B1" s="3" t="s">
        <v>14</v>
      </c>
      <c r="C1" s="5" t="s">
        <v>15</v>
      </c>
      <c r="D1" s="5" t="s">
        <v>16</v>
      </c>
      <c r="E1" t="s">
        <v>31</v>
      </c>
    </row>
    <row r="2" spans="1:5" x14ac:dyDescent="0.3">
      <c r="A2" s="1">
        <v>44927</v>
      </c>
      <c r="B2">
        <f>MONTH(A2)</f>
        <v>1</v>
      </c>
      <c r="C2" t="s">
        <v>0</v>
      </c>
      <c r="E2" s="7">
        <v>3918744.5100000007</v>
      </c>
    </row>
    <row r="3" spans="1:5" x14ac:dyDescent="0.3">
      <c r="A3" s="1">
        <v>44958</v>
      </c>
      <c r="B3">
        <f t="shared" ref="B3:B13" si="0">MONTH(A3)</f>
        <v>2</v>
      </c>
      <c r="C3" t="s">
        <v>2</v>
      </c>
      <c r="E3" s="7">
        <v>3906546.1000000006</v>
      </c>
    </row>
    <row r="4" spans="1:5" x14ac:dyDescent="0.3">
      <c r="A4" s="1">
        <v>44986</v>
      </c>
      <c r="B4">
        <f t="shared" si="0"/>
        <v>3</v>
      </c>
      <c r="C4" t="s">
        <v>3</v>
      </c>
      <c r="E4" s="7">
        <v>4657735.7300000014</v>
      </c>
    </row>
    <row r="5" spans="1:5" x14ac:dyDescent="0.3">
      <c r="A5" s="1">
        <v>45017</v>
      </c>
      <c r="B5">
        <f t="shared" si="0"/>
        <v>4</v>
      </c>
      <c r="C5" t="s">
        <v>4</v>
      </c>
      <c r="E5" s="7">
        <v>4686859.1900000004</v>
      </c>
    </row>
    <row r="6" spans="1:5" x14ac:dyDescent="0.3">
      <c r="A6" s="1">
        <v>45047</v>
      </c>
      <c r="B6">
        <f t="shared" si="0"/>
        <v>5</v>
      </c>
      <c r="C6" t="s">
        <v>5</v>
      </c>
      <c r="E6" s="7">
        <v>4417785.3100000005</v>
      </c>
    </row>
    <row r="7" spans="1:5" x14ac:dyDescent="0.3">
      <c r="A7" s="1">
        <v>45078</v>
      </c>
      <c r="B7">
        <f t="shared" si="0"/>
        <v>6</v>
      </c>
      <c r="C7" t="s">
        <v>6</v>
      </c>
      <c r="E7" s="7">
        <v>4443757.41</v>
      </c>
    </row>
    <row r="8" spans="1:5" x14ac:dyDescent="0.3">
      <c r="A8" s="1">
        <v>45108</v>
      </c>
      <c r="B8">
        <f t="shared" si="0"/>
        <v>7</v>
      </c>
      <c r="C8" t="s">
        <v>7</v>
      </c>
      <c r="E8" s="7">
        <v>4456504.45</v>
      </c>
    </row>
    <row r="9" spans="1:5" x14ac:dyDescent="0.3">
      <c r="A9" s="1">
        <v>45139</v>
      </c>
      <c r="B9">
        <f t="shared" si="0"/>
        <v>8</v>
      </c>
      <c r="C9" t="s">
        <v>8</v>
      </c>
      <c r="E9" s="7">
        <v>4451271.8600000003</v>
      </c>
    </row>
    <row r="10" spans="1:5" x14ac:dyDescent="0.3">
      <c r="A10" s="1">
        <v>45170</v>
      </c>
      <c r="B10">
        <f t="shared" si="0"/>
        <v>9</v>
      </c>
      <c r="C10" t="s">
        <v>9</v>
      </c>
      <c r="E10" s="7">
        <v>4449951.05</v>
      </c>
    </row>
    <row r="11" spans="1:5" x14ac:dyDescent="0.3">
      <c r="A11" s="1">
        <v>45200</v>
      </c>
      <c r="B11">
        <f t="shared" si="0"/>
        <v>10</v>
      </c>
      <c r="C11" t="s">
        <v>10</v>
      </c>
      <c r="E11" s="7">
        <v>4389875.7299999995</v>
      </c>
    </row>
    <row r="12" spans="1:5" x14ac:dyDescent="0.3">
      <c r="A12" s="1">
        <v>45231</v>
      </c>
      <c r="B12">
        <f t="shared" si="0"/>
        <v>11</v>
      </c>
      <c r="C12" t="s">
        <v>11</v>
      </c>
      <c r="E12" s="7">
        <v>4445801.9299999988</v>
      </c>
    </row>
    <row r="13" spans="1:5" x14ac:dyDescent="0.3">
      <c r="A13" s="1">
        <v>45261</v>
      </c>
      <c r="B13">
        <f t="shared" si="0"/>
        <v>12</v>
      </c>
      <c r="C13" t="s">
        <v>1</v>
      </c>
      <c r="E13" s="7">
        <v>4608333.120000001</v>
      </c>
    </row>
    <row r="14" spans="1:5" x14ac:dyDescent="0.3">
      <c r="A14" s="1">
        <v>45292</v>
      </c>
      <c r="B14">
        <f>MONTH(A14)</f>
        <v>1</v>
      </c>
      <c r="C14" t="s">
        <v>0</v>
      </c>
      <c r="E14" s="7">
        <v>4656302.8499999996</v>
      </c>
    </row>
    <row r="15" spans="1:5" x14ac:dyDescent="0.3">
      <c r="A15" s="1">
        <v>45323</v>
      </c>
      <c r="B15">
        <f t="shared" ref="B15:B37" si="1">MONTH(A15)</f>
        <v>2</v>
      </c>
      <c r="C15" t="s">
        <v>2</v>
      </c>
      <c r="E15" s="7">
        <v>4633603.13</v>
      </c>
    </row>
    <row r="16" spans="1:5" x14ac:dyDescent="0.3">
      <c r="A16" s="1">
        <v>45352</v>
      </c>
      <c r="B16">
        <f t="shared" si="1"/>
        <v>3</v>
      </c>
      <c r="C16" t="s">
        <v>3</v>
      </c>
      <c r="E16" s="7">
        <v>4646227.7899999991</v>
      </c>
    </row>
    <row r="17" spans="1:5" x14ac:dyDescent="0.3">
      <c r="A17" s="1">
        <v>45383</v>
      </c>
      <c r="B17">
        <f t="shared" si="1"/>
        <v>4</v>
      </c>
      <c r="C17" t="s">
        <v>4</v>
      </c>
      <c r="E17" s="7">
        <v>4548689.5999999996</v>
      </c>
    </row>
    <row r="18" spans="1:5" x14ac:dyDescent="0.3">
      <c r="A18" s="1">
        <v>45413</v>
      </c>
      <c r="B18">
        <f t="shared" si="1"/>
        <v>5</v>
      </c>
      <c r="C18" t="s">
        <v>5</v>
      </c>
      <c r="E18" s="7">
        <v>4578354.7699999996</v>
      </c>
    </row>
    <row r="19" spans="1:5" x14ac:dyDescent="0.3">
      <c r="A19" s="1">
        <v>45444</v>
      </c>
      <c r="B19">
        <f t="shared" si="1"/>
        <v>6</v>
      </c>
      <c r="C19" t="s">
        <v>6</v>
      </c>
      <c r="E19" s="7">
        <v>4602723.9099999992</v>
      </c>
    </row>
    <row r="20" spans="1:5" x14ac:dyDescent="0.3">
      <c r="A20" s="1">
        <v>45474</v>
      </c>
      <c r="B20">
        <f t="shared" si="1"/>
        <v>7</v>
      </c>
      <c r="C20" t="s">
        <v>7</v>
      </c>
      <c r="E20" s="7">
        <v>4515293.5099999979</v>
      </c>
    </row>
    <row r="21" spans="1:5" x14ac:dyDescent="0.3">
      <c r="A21" s="1">
        <v>45505</v>
      </c>
      <c r="B21">
        <f t="shared" si="1"/>
        <v>8</v>
      </c>
      <c r="C21" t="s">
        <v>8</v>
      </c>
      <c r="E21" s="7">
        <v>4515651.4299999978</v>
      </c>
    </row>
    <row r="22" spans="1:5" x14ac:dyDescent="0.3">
      <c r="A22" s="1">
        <v>45536</v>
      </c>
      <c r="B22">
        <f t="shared" si="1"/>
        <v>9</v>
      </c>
      <c r="C22" t="s">
        <v>9</v>
      </c>
      <c r="E22" s="7">
        <v>4554697.6899999976</v>
      </c>
    </row>
    <row r="23" spans="1:5" x14ac:dyDescent="0.3">
      <c r="A23" s="1">
        <v>45566</v>
      </c>
      <c r="B23">
        <f t="shared" si="1"/>
        <v>10</v>
      </c>
      <c r="C23" t="s">
        <v>10</v>
      </c>
      <c r="E23" s="7">
        <v>4591297.799999998</v>
      </c>
    </row>
    <row r="24" spans="1:5" x14ac:dyDescent="0.3">
      <c r="A24" s="1">
        <v>45597</v>
      </c>
      <c r="B24">
        <f t="shared" si="1"/>
        <v>11</v>
      </c>
      <c r="C24" t="s">
        <v>11</v>
      </c>
      <c r="E24" s="7">
        <v>4688480.5499999989</v>
      </c>
    </row>
    <row r="25" spans="1:5" x14ac:dyDescent="0.3">
      <c r="A25" s="1">
        <v>45627</v>
      </c>
      <c r="B25">
        <f t="shared" si="1"/>
        <v>12</v>
      </c>
      <c r="C25" t="s">
        <v>1</v>
      </c>
      <c r="E25" s="7">
        <v>4742229.6799999978</v>
      </c>
    </row>
    <row r="26" spans="1:5" x14ac:dyDescent="0.3">
      <c r="A26" s="1">
        <v>45658</v>
      </c>
      <c r="B26">
        <f t="shared" si="1"/>
        <v>1</v>
      </c>
      <c r="C26" t="s">
        <v>0</v>
      </c>
      <c r="E26" s="7">
        <v>4789980.879999999</v>
      </c>
    </row>
    <row r="27" spans="1:5" x14ac:dyDescent="0.3">
      <c r="A27" s="1">
        <v>45689</v>
      </c>
      <c r="B27">
        <f t="shared" si="1"/>
        <v>2</v>
      </c>
      <c r="C27" t="s">
        <v>2</v>
      </c>
      <c r="E27" s="7">
        <v>4670630.6899999995</v>
      </c>
    </row>
    <row r="28" spans="1:5" x14ac:dyDescent="0.3">
      <c r="A28" s="1">
        <v>45717</v>
      </c>
      <c r="B28">
        <f t="shared" si="1"/>
        <v>3</v>
      </c>
      <c r="C28" t="s">
        <v>3</v>
      </c>
      <c r="E28" s="7">
        <v>4731883.9899999984</v>
      </c>
    </row>
    <row r="29" spans="1:5" x14ac:dyDescent="0.3">
      <c r="A29" s="1">
        <v>45748</v>
      </c>
      <c r="B29">
        <f t="shared" si="1"/>
        <v>4</v>
      </c>
      <c r="C29" t="s">
        <v>4</v>
      </c>
      <c r="E29" s="7">
        <v>4712035.8999999985</v>
      </c>
    </row>
    <row r="30" spans="1:5" x14ac:dyDescent="0.3">
      <c r="A30" s="1">
        <v>45778</v>
      </c>
      <c r="B30">
        <f t="shared" si="1"/>
        <v>5</v>
      </c>
      <c r="C30" t="s">
        <v>5</v>
      </c>
      <c r="E30" s="7">
        <v>4639279.2299999986</v>
      </c>
    </row>
    <row r="31" spans="1:5" x14ac:dyDescent="0.3">
      <c r="A31" s="1">
        <v>45809</v>
      </c>
      <c r="B31">
        <f t="shared" si="1"/>
        <v>6</v>
      </c>
      <c r="C31" t="s">
        <v>6</v>
      </c>
      <c r="E31" s="7">
        <v>4637614.6399999987</v>
      </c>
    </row>
    <row r="32" spans="1:5" x14ac:dyDescent="0.3">
      <c r="A32" s="1">
        <v>45839</v>
      </c>
      <c r="B32">
        <f t="shared" si="1"/>
        <v>7</v>
      </c>
      <c r="C32" t="s">
        <v>7</v>
      </c>
      <c r="E32" s="7">
        <v>4658225.1099999985</v>
      </c>
    </row>
    <row r="33" spans="1:5" x14ac:dyDescent="0.3">
      <c r="A33" s="1">
        <v>45870</v>
      </c>
      <c r="B33">
        <f t="shared" si="1"/>
        <v>8</v>
      </c>
      <c r="C33" t="s">
        <v>8</v>
      </c>
      <c r="E33" s="7">
        <v>4760902.4299999988</v>
      </c>
    </row>
    <row r="34" spans="1:5" x14ac:dyDescent="0.3">
      <c r="A34" s="1">
        <v>45901</v>
      </c>
      <c r="B34">
        <f t="shared" si="1"/>
        <v>9</v>
      </c>
      <c r="C34" t="s">
        <v>9</v>
      </c>
      <c r="E34" s="7">
        <v>4774733.3899999987</v>
      </c>
    </row>
    <row r="35" spans="1:5" x14ac:dyDescent="0.3">
      <c r="A35" s="1">
        <v>45931</v>
      </c>
      <c r="B35">
        <f t="shared" si="1"/>
        <v>10</v>
      </c>
      <c r="C35" t="s">
        <v>10</v>
      </c>
      <c r="E35" s="7">
        <v>4807680.93</v>
      </c>
    </row>
    <row r="36" spans="1:5" x14ac:dyDescent="0.3">
      <c r="A36" s="1">
        <v>45962</v>
      </c>
      <c r="B36">
        <f t="shared" si="1"/>
        <v>11</v>
      </c>
      <c r="C36" t="s">
        <v>11</v>
      </c>
      <c r="E36" s="7">
        <v>4817760.46</v>
      </c>
    </row>
    <row r="37" spans="1:5" x14ac:dyDescent="0.3">
      <c r="A37" s="1">
        <v>45992</v>
      </c>
      <c r="B37">
        <f t="shared" si="1"/>
        <v>12</v>
      </c>
      <c r="C37" t="s">
        <v>1</v>
      </c>
      <c r="E37" s="7">
        <v>4852178.42</v>
      </c>
    </row>
    <row r="38" spans="1:5" x14ac:dyDescent="0.3">
      <c r="A38" s="1"/>
      <c r="E38" s="7"/>
    </row>
    <row r="39" spans="1:5" x14ac:dyDescent="0.3">
      <c r="A39" s="1"/>
      <c r="E39" s="7"/>
    </row>
    <row r="40" spans="1:5" x14ac:dyDescent="0.3">
      <c r="A40" s="1"/>
      <c r="E40" s="7"/>
    </row>
    <row r="41" spans="1:5" x14ac:dyDescent="0.3">
      <c r="A41" s="1"/>
      <c r="E41" s="7"/>
    </row>
    <row r="42" spans="1:5" x14ac:dyDescent="0.3">
      <c r="A42" s="1"/>
      <c r="E42" s="7"/>
    </row>
    <row r="43" spans="1:5" x14ac:dyDescent="0.3">
      <c r="A43" s="1"/>
      <c r="E43" s="7"/>
    </row>
    <row r="44" spans="1:5" x14ac:dyDescent="0.3">
      <c r="A44" s="1"/>
      <c r="E44" s="7"/>
    </row>
    <row r="45" spans="1:5" x14ac:dyDescent="0.3">
      <c r="A45" s="1"/>
      <c r="E45" s="7"/>
    </row>
    <row r="46" spans="1:5" x14ac:dyDescent="0.3">
      <c r="A46" s="1"/>
      <c r="E46" s="7"/>
    </row>
    <row r="47" spans="1:5" x14ac:dyDescent="0.3">
      <c r="A47" s="1"/>
      <c r="E47" s="7"/>
    </row>
    <row r="48" spans="1:5" x14ac:dyDescent="0.3">
      <c r="A48" s="1"/>
      <c r="E48" s="7"/>
    </row>
    <row r="49" spans="1:5" x14ac:dyDescent="0.3">
      <c r="A49" s="1"/>
      <c r="E49" s="7"/>
    </row>
    <row r="50" spans="1:5" x14ac:dyDescent="0.3">
      <c r="A50" s="1"/>
      <c r="E50" s="7"/>
    </row>
    <row r="51" spans="1:5" x14ac:dyDescent="0.3">
      <c r="A51" s="1"/>
      <c r="E51" s="7"/>
    </row>
    <row r="52" spans="1:5" x14ac:dyDescent="0.3">
      <c r="A52" s="1"/>
      <c r="E52" s="7"/>
    </row>
    <row r="53" spans="1:5" x14ac:dyDescent="0.3">
      <c r="A53" s="1"/>
      <c r="E53" s="7"/>
    </row>
    <row r="54" spans="1:5" x14ac:dyDescent="0.3">
      <c r="A54" s="1"/>
      <c r="E54" s="7"/>
    </row>
    <row r="55" spans="1:5" x14ac:dyDescent="0.3">
      <c r="A55" s="1"/>
      <c r="E55" s="7"/>
    </row>
    <row r="56" spans="1:5" x14ac:dyDescent="0.3">
      <c r="A56" s="1"/>
      <c r="E56" s="7"/>
    </row>
    <row r="57" spans="1:5" x14ac:dyDescent="0.3">
      <c r="A57" s="1"/>
      <c r="E57" s="7"/>
    </row>
    <row r="58" spans="1:5" x14ac:dyDescent="0.3">
      <c r="A58" s="1"/>
      <c r="E58" s="7"/>
    </row>
    <row r="59" spans="1:5" x14ac:dyDescent="0.3">
      <c r="A59" s="1"/>
      <c r="E59" s="7"/>
    </row>
    <row r="60" spans="1:5" x14ac:dyDescent="0.3">
      <c r="A60" s="1"/>
      <c r="E60" s="7"/>
    </row>
    <row r="61" spans="1:5" x14ac:dyDescent="0.3">
      <c r="A61" s="1"/>
      <c r="E61" s="7"/>
    </row>
    <row r="62" spans="1:5" x14ac:dyDescent="0.3">
      <c r="A62" s="1"/>
      <c r="E62" s="7"/>
    </row>
    <row r="63" spans="1:5" x14ac:dyDescent="0.3">
      <c r="A63" s="1"/>
      <c r="E63" s="7"/>
    </row>
    <row r="64" spans="1:5" x14ac:dyDescent="0.3">
      <c r="A64" s="1"/>
      <c r="E64" s="7"/>
    </row>
    <row r="65" spans="1:5" x14ac:dyDescent="0.3">
      <c r="A65" s="1"/>
      <c r="E65" s="7"/>
    </row>
    <row r="66" spans="1:5" x14ac:dyDescent="0.3">
      <c r="A66" s="1"/>
      <c r="E66" s="7"/>
    </row>
    <row r="67" spans="1:5" x14ac:dyDescent="0.3">
      <c r="A67" s="1"/>
      <c r="E67" s="7"/>
    </row>
    <row r="68" spans="1:5" x14ac:dyDescent="0.3">
      <c r="A68" s="1"/>
      <c r="E68" s="7"/>
    </row>
    <row r="69" spans="1:5" x14ac:dyDescent="0.3">
      <c r="A69" s="1"/>
      <c r="E69" s="7"/>
    </row>
    <row r="70" spans="1:5" x14ac:dyDescent="0.3">
      <c r="A70" s="1"/>
      <c r="E70" s="7"/>
    </row>
    <row r="71" spans="1:5" x14ac:dyDescent="0.3">
      <c r="A71" s="1"/>
      <c r="E71" s="7"/>
    </row>
    <row r="72" spans="1:5" x14ac:dyDescent="0.3">
      <c r="A72" s="1"/>
      <c r="E72" s="7"/>
    </row>
    <row r="73" spans="1:5" x14ac:dyDescent="0.3">
      <c r="A73" s="1"/>
      <c r="E73" s="7"/>
    </row>
    <row r="74" spans="1:5" x14ac:dyDescent="0.3">
      <c r="A74" s="1"/>
      <c r="E74" s="7"/>
    </row>
    <row r="75" spans="1:5" x14ac:dyDescent="0.3">
      <c r="A75" s="1"/>
      <c r="E75" s="7"/>
    </row>
    <row r="76" spans="1:5" x14ac:dyDescent="0.3">
      <c r="A76" s="1"/>
      <c r="E76" s="7"/>
    </row>
    <row r="77" spans="1:5" x14ac:dyDescent="0.3">
      <c r="A77" s="1"/>
      <c r="E77" s="7"/>
    </row>
    <row r="78" spans="1:5" x14ac:dyDescent="0.3">
      <c r="A78" s="1"/>
      <c r="E78" s="7"/>
    </row>
    <row r="79" spans="1:5" x14ac:dyDescent="0.3">
      <c r="A79" s="1"/>
      <c r="E79" s="7"/>
    </row>
    <row r="80" spans="1:5" x14ac:dyDescent="0.3">
      <c r="A80" s="1"/>
      <c r="E80" s="7"/>
    </row>
    <row r="81" spans="1:5" x14ac:dyDescent="0.3">
      <c r="A81" s="1"/>
      <c r="E81" s="7"/>
    </row>
    <row r="82" spans="1:5" x14ac:dyDescent="0.3">
      <c r="A82" s="1"/>
      <c r="E82" s="7"/>
    </row>
    <row r="83" spans="1:5" x14ac:dyDescent="0.3">
      <c r="A83" s="1"/>
      <c r="E83" s="7"/>
    </row>
    <row r="84" spans="1:5" x14ac:dyDescent="0.3">
      <c r="A84" s="1"/>
      <c r="E84" s="7"/>
    </row>
    <row r="85" spans="1:5" x14ac:dyDescent="0.3">
      <c r="A85" s="1"/>
      <c r="E85" s="7"/>
    </row>
    <row r="86" spans="1:5" x14ac:dyDescent="0.3">
      <c r="A86" s="1"/>
      <c r="E86" s="7"/>
    </row>
    <row r="87" spans="1:5" x14ac:dyDescent="0.3">
      <c r="A87" s="1"/>
      <c r="E87" s="7"/>
    </row>
    <row r="88" spans="1:5" x14ac:dyDescent="0.3">
      <c r="A88" s="1"/>
      <c r="E88" s="7"/>
    </row>
    <row r="89" spans="1:5" x14ac:dyDescent="0.3">
      <c r="A89" s="1"/>
      <c r="E89" s="7"/>
    </row>
    <row r="90" spans="1:5" x14ac:dyDescent="0.3">
      <c r="A90" s="1"/>
      <c r="E90" s="7"/>
    </row>
    <row r="91" spans="1:5" x14ac:dyDescent="0.3">
      <c r="A91" s="1"/>
      <c r="E91" s="7"/>
    </row>
    <row r="92" spans="1:5" x14ac:dyDescent="0.3">
      <c r="A92" s="1"/>
      <c r="E92" s="7"/>
    </row>
    <row r="93" spans="1:5" x14ac:dyDescent="0.3">
      <c r="A93" s="1"/>
      <c r="E93" s="7"/>
    </row>
    <row r="94" spans="1:5" x14ac:dyDescent="0.3">
      <c r="A94" s="1"/>
      <c r="E94" s="7"/>
    </row>
    <row r="95" spans="1:5" x14ac:dyDescent="0.3">
      <c r="A95" s="1"/>
      <c r="E95" s="7"/>
    </row>
    <row r="96" spans="1:5" x14ac:dyDescent="0.3">
      <c r="A96" s="1"/>
      <c r="E96" s="7"/>
    </row>
    <row r="97" spans="1:5" x14ac:dyDescent="0.3">
      <c r="A97" s="1"/>
      <c r="E97" s="7"/>
    </row>
    <row r="98" spans="1:5" x14ac:dyDescent="0.3">
      <c r="A98" s="1"/>
      <c r="E98" s="7"/>
    </row>
    <row r="99" spans="1:5" x14ac:dyDescent="0.3">
      <c r="A99" s="1"/>
      <c r="E99" s="7"/>
    </row>
    <row r="100" spans="1:5" x14ac:dyDescent="0.3">
      <c r="A100" s="1"/>
      <c r="E100" s="7"/>
    </row>
    <row r="101" spans="1:5" x14ac:dyDescent="0.3">
      <c r="A101" s="1"/>
      <c r="E101" s="7"/>
    </row>
    <row r="102" spans="1:5" x14ac:dyDescent="0.3">
      <c r="A102" s="1"/>
      <c r="E102" s="7"/>
    </row>
    <row r="103" spans="1:5" x14ac:dyDescent="0.3">
      <c r="A103" s="1"/>
      <c r="E103" s="7"/>
    </row>
    <row r="104" spans="1:5" x14ac:dyDescent="0.3">
      <c r="A104" s="1"/>
      <c r="E104" s="7"/>
    </row>
    <row r="105" spans="1:5" x14ac:dyDescent="0.3">
      <c r="A105" s="1"/>
      <c r="E105" s="7"/>
    </row>
    <row r="106" spans="1:5" x14ac:dyDescent="0.3">
      <c r="A106" s="1"/>
      <c r="E106" s="7"/>
    </row>
    <row r="107" spans="1:5" x14ac:dyDescent="0.3">
      <c r="A107" s="1"/>
      <c r="E107" s="7"/>
    </row>
    <row r="108" spans="1:5" x14ac:dyDescent="0.3">
      <c r="A108" s="1"/>
      <c r="E108" s="7"/>
    </row>
    <row r="109" spans="1:5" x14ac:dyDescent="0.3">
      <c r="A109" s="1"/>
      <c r="E109" s="7"/>
    </row>
    <row r="110" spans="1:5" x14ac:dyDescent="0.3">
      <c r="A110" s="1"/>
      <c r="E110" s="7"/>
    </row>
    <row r="111" spans="1:5" x14ac:dyDescent="0.3">
      <c r="A111" s="1"/>
      <c r="E111" s="7"/>
    </row>
    <row r="112" spans="1:5" x14ac:dyDescent="0.3">
      <c r="A112" s="1"/>
      <c r="E112" s="7"/>
    </row>
    <row r="113" spans="1:5" x14ac:dyDescent="0.3">
      <c r="A113" s="1"/>
      <c r="E113" s="7"/>
    </row>
    <row r="114" spans="1:5" x14ac:dyDescent="0.3">
      <c r="A114" s="1"/>
      <c r="E114" s="7"/>
    </row>
    <row r="115" spans="1:5" x14ac:dyDescent="0.3">
      <c r="A115" s="1"/>
      <c r="E115" s="7"/>
    </row>
    <row r="116" spans="1:5" x14ac:dyDescent="0.3">
      <c r="A116" s="1"/>
      <c r="E116" s="7"/>
    </row>
    <row r="117" spans="1:5" x14ac:dyDescent="0.3">
      <c r="A117" s="1"/>
      <c r="E117" s="7"/>
    </row>
    <row r="118" spans="1:5" x14ac:dyDescent="0.3">
      <c r="A118" s="1"/>
      <c r="E118" s="7"/>
    </row>
    <row r="119" spans="1:5" x14ac:dyDescent="0.3">
      <c r="A119" s="1"/>
      <c r="E119" s="7"/>
    </row>
    <row r="120" spans="1:5" x14ac:dyDescent="0.3">
      <c r="A120" s="1"/>
      <c r="E120" s="7"/>
    </row>
    <row r="121" spans="1:5" x14ac:dyDescent="0.3">
      <c r="A121" s="1"/>
      <c r="E121" s="7"/>
    </row>
    <row r="122" spans="1:5" x14ac:dyDescent="0.3">
      <c r="A122" s="1"/>
      <c r="E122" s="7"/>
    </row>
    <row r="123" spans="1:5" x14ac:dyDescent="0.3">
      <c r="A123" s="1"/>
      <c r="E123" s="7"/>
    </row>
    <row r="124" spans="1:5" x14ac:dyDescent="0.3">
      <c r="A124" s="1"/>
      <c r="E124" s="7"/>
    </row>
    <row r="125" spans="1:5" x14ac:dyDescent="0.3">
      <c r="A125" s="1"/>
      <c r="E125" s="7"/>
    </row>
    <row r="126" spans="1:5" x14ac:dyDescent="0.3">
      <c r="A126" s="1"/>
      <c r="E126" s="7"/>
    </row>
    <row r="127" spans="1:5" x14ac:dyDescent="0.3">
      <c r="A127" s="1"/>
      <c r="E127" s="7"/>
    </row>
    <row r="128" spans="1:5" x14ac:dyDescent="0.3">
      <c r="A128" s="1"/>
      <c r="E128" s="7"/>
    </row>
    <row r="129" spans="1:5" x14ac:dyDescent="0.3">
      <c r="A129" s="1"/>
      <c r="E129" s="7"/>
    </row>
    <row r="130" spans="1:5" x14ac:dyDescent="0.3">
      <c r="A130" s="1"/>
      <c r="E130" s="7"/>
    </row>
    <row r="131" spans="1:5" x14ac:dyDescent="0.3">
      <c r="A131" s="1"/>
      <c r="E131" s="7"/>
    </row>
    <row r="132" spans="1:5" x14ac:dyDescent="0.3">
      <c r="A132" s="1"/>
      <c r="E132" s="7"/>
    </row>
    <row r="133" spans="1:5" x14ac:dyDescent="0.3">
      <c r="A133" s="1"/>
      <c r="E133" s="7"/>
    </row>
    <row r="134" spans="1:5" x14ac:dyDescent="0.3">
      <c r="A134" s="1"/>
      <c r="E134" s="7"/>
    </row>
    <row r="135" spans="1:5" x14ac:dyDescent="0.3">
      <c r="A135" s="1"/>
      <c r="E135" s="7"/>
    </row>
    <row r="136" spans="1:5" x14ac:dyDescent="0.3">
      <c r="A136" s="1"/>
      <c r="E136" s="7"/>
    </row>
    <row r="137" spans="1:5" x14ac:dyDescent="0.3">
      <c r="A137" s="1"/>
      <c r="E137" s="7"/>
    </row>
    <row r="138" spans="1:5" x14ac:dyDescent="0.3">
      <c r="A138" s="1"/>
      <c r="E138" s="7"/>
    </row>
    <row r="139" spans="1:5" x14ac:dyDescent="0.3">
      <c r="A139" s="1"/>
      <c r="E139" s="7"/>
    </row>
    <row r="140" spans="1:5" x14ac:dyDescent="0.3">
      <c r="A140" s="1"/>
      <c r="E140" s="7"/>
    </row>
    <row r="141" spans="1:5" x14ac:dyDescent="0.3">
      <c r="A141" s="1"/>
      <c r="E141" s="7"/>
    </row>
    <row r="142" spans="1:5" x14ac:dyDescent="0.3">
      <c r="A142" s="1"/>
      <c r="E142" s="7"/>
    </row>
    <row r="143" spans="1:5" x14ac:dyDescent="0.3">
      <c r="A143" s="1"/>
      <c r="E143" s="7"/>
    </row>
    <row r="144" spans="1:5" x14ac:dyDescent="0.3">
      <c r="A144" s="1"/>
      <c r="E144" s="7"/>
    </row>
    <row r="145" spans="1:5" x14ac:dyDescent="0.3">
      <c r="A145" s="1"/>
      <c r="E145" s="7"/>
    </row>
    <row r="146" spans="1:5" x14ac:dyDescent="0.3">
      <c r="A146" s="1"/>
      <c r="E146" s="7"/>
    </row>
    <row r="147" spans="1:5" x14ac:dyDescent="0.3">
      <c r="A147" s="1"/>
      <c r="E147" s="7"/>
    </row>
    <row r="148" spans="1:5" x14ac:dyDescent="0.3">
      <c r="A148" s="1"/>
      <c r="E148" s="7"/>
    </row>
    <row r="149" spans="1:5" x14ac:dyDescent="0.3">
      <c r="A149" s="1"/>
      <c r="E149" s="7"/>
    </row>
    <row r="150" spans="1:5" x14ac:dyDescent="0.3">
      <c r="A150" s="1"/>
      <c r="E150" s="7"/>
    </row>
    <row r="151" spans="1:5" x14ac:dyDescent="0.3">
      <c r="A151" s="1"/>
      <c r="E151" s="7"/>
    </row>
    <row r="152" spans="1:5" x14ac:dyDescent="0.3">
      <c r="A152" s="1"/>
      <c r="E152" s="7"/>
    </row>
    <row r="153" spans="1:5" x14ac:dyDescent="0.3">
      <c r="A153" s="1"/>
      <c r="E153" s="7"/>
    </row>
    <row r="154" spans="1:5" x14ac:dyDescent="0.3">
      <c r="A154" s="1"/>
      <c r="E154" s="7"/>
    </row>
    <row r="155" spans="1:5" x14ac:dyDescent="0.3">
      <c r="A155" s="1"/>
      <c r="E155" s="7"/>
    </row>
    <row r="156" spans="1:5" x14ac:dyDescent="0.3">
      <c r="A156" s="1"/>
      <c r="E156" s="7"/>
    </row>
    <row r="157" spans="1:5" x14ac:dyDescent="0.3">
      <c r="A157" s="1"/>
      <c r="E157" s="7"/>
    </row>
  </sheetData>
  <printOptions horizontalCentered="1"/>
  <pageMargins left="0.31496062992125984" right="0.31496062992125984" top="0.35433070866141736" bottom="0.35433070866141736" header="0.31496062992125984" footer="0.31496062992125984"/>
  <pageSetup scale="68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48E59-89AC-42EE-8024-F3BF40BFEA3F}">
  <sheetPr>
    <tabColor rgb="FF00B050"/>
    <pageSetUpPr fitToPage="1"/>
  </sheetPr>
  <dimension ref="A1:G157"/>
  <sheetViews>
    <sheetView showGridLines="0" workbookViewId="0">
      <pane xSplit="4" ySplit="1" topLeftCell="E2" activePane="bottomRight" state="frozen"/>
      <selection pane="topRight" activeCell="D1" sqref="D1"/>
      <selection pane="bottomLeft" activeCell="A2" sqref="A2"/>
      <selection pane="bottomRight"/>
    </sheetView>
  </sheetViews>
  <sheetFormatPr baseColWidth="10" defaultRowHeight="14.4" x14ac:dyDescent="0.3"/>
  <cols>
    <col min="2" max="3" width="6.21875" customWidth="1"/>
    <col min="4" max="4" width="12" customWidth="1"/>
  </cols>
  <sheetData>
    <row r="1" spans="1:7" x14ac:dyDescent="0.3">
      <c r="A1" s="2" t="s">
        <v>13</v>
      </c>
      <c r="B1" s="3" t="s">
        <v>14</v>
      </c>
      <c r="C1" s="5" t="s">
        <v>15</v>
      </c>
      <c r="D1" s="5" t="s">
        <v>16</v>
      </c>
      <c r="E1" t="s">
        <v>32</v>
      </c>
      <c r="F1" t="s">
        <v>33</v>
      </c>
      <c r="G1" t="s">
        <v>34</v>
      </c>
    </row>
    <row r="2" spans="1:7" x14ac:dyDescent="0.3">
      <c r="A2" s="1">
        <v>44927</v>
      </c>
      <c r="B2">
        <f>MONTH(A2)</f>
        <v>1</v>
      </c>
      <c r="C2" t="s">
        <v>0</v>
      </c>
      <c r="E2" s="7">
        <v>81</v>
      </c>
      <c r="F2">
        <v>13</v>
      </c>
      <c r="G2" s="7">
        <f>E2/(E2+F2)</f>
        <v>0.86170212765957444</v>
      </c>
    </row>
    <row r="3" spans="1:7" x14ac:dyDescent="0.3">
      <c r="A3" s="1">
        <v>44958</v>
      </c>
      <c r="B3">
        <f t="shared" ref="B3:B13" si="0">MONTH(A3)</f>
        <v>2</v>
      </c>
      <c r="C3" t="s">
        <v>2</v>
      </c>
      <c r="E3" s="7">
        <v>78</v>
      </c>
      <c r="F3">
        <v>16</v>
      </c>
      <c r="G3" s="7">
        <f t="shared" ref="G3:G37" si="1">E3/(E3+F3)</f>
        <v>0.82978723404255317</v>
      </c>
    </row>
    <row r="4" spans="1:7" x14ac:dyDescent="0.3">
      <c r="A4" s="1">
        <v>44986</v>
      </c>
      <c r="B4">
        <f t="shared" si="0"/>
        <v>3</v>
      </c>
      <c r="C4" t="s">
        <v>3</v>
      </c>
      <c r="E4" s="7">
        <v>79</v>
      </c>
      <c r="F4">
        <v>15</v>
      </c>
      <c r="G4" s="7">
        <f t="shared" si="1"/>
        <v>0.84042553191489366</v>
      </c>
    </row>
    <row r="5" spans="1:7" x14ac:dyDescent="0.3">
      <c r="A5" s="1">
        <v>45017</v>
      </c>
      <c r="B5">
        <f t="shared" si="0"/>
        <v>4</v>
      </c>
      <c r="C5" t="s">
        <v>4</v>
      </c>
      <c r="E5" s="7">
        <v>80</v>
      </c>
      <c r="F5">
        <v>14</v>
      </c>
      <c r="G5" s="7">
        <f t="shared" si="1"/>
        <v>0.85106382978723405</v>
      </c>
    </row>
    <row r="6" spans="1:7" x14ac:dyDescent="0.3">
      <c r="A6" s="1">
        <v>45047</v>
      </c>
      <c r="B6">
        <f t="shared" si="0"/>
        <v>5</v>
      </c>
      <c r="C6" t="s">
        <v>5</v>
      </c>
      <c r="E6" s="7">
        <v>78</v>
      </c>
      <c r="F6">
        <v>16</v>
      </c>
      <c r="G6" s="7">
        <f t="shared" si="1"/>
        <v>0.82978723404255317</v>
      </c>
    </row>
    <row r="7" spans="1:7" x14ac:dyDescent="0.3">
      <c r="A7" s="1">
        <v>45078</v>
      </c>
      <c r="B7">
        <f t="shared" si="0"/>
        <v>6</v>
      </c>
      <c r="C7" t="s">
        <v>6</v>
      </c>
      <c r="E7" s="7">
        <v>80</v>
      </c>
      <c r="F7">
        <v>13</v>
      </c>
      <c r="G7" s="7">
        <f t="shared" si="1"/>
        <v>0.86021505376344087</v>
      </c>
    </row>
    <row r="8" spans="1:7" x14ac:dyDescent="0.3">
      <c r="A8" s="1">
        <v>45108</v>
      </c>
      <c r="B8">
        <f t="shared" si="0"/>
        <v>7</v>
      </c>
      <c r="C8" t="s">
        <v>7</v>
      </c>
      <c r="E8" s="7">
        <v>80</v>
      </c>
      <c r="F8">
        <v>13</v>
      </c>
      <c r="G8" s="7">
        <f t="shared" si="1"/>
        <v>0.86021505376344087</v>
      </c>
    </row>
    <row r="9" spans="1:7" x14ac:dyDescent="0.3">
      <c r="A9" s="1">
        <v>45139</v>
      </c>
      <c r="B9">
        <f t="shared" si="0"/>
        <v>8</v>
      </c>
      <c r="C9" t="s">
        <v>8</v>
      </c>
      <c r="E9" s="7">
        <v>80</v>
      </c>
      <c r="F9">
        <v>13</v>
      </c>
      <c r="G9" s="7">
        <f t="shared" si="1"/>
        <v>0.86021505376344087</v>
      </c>
    </row>
    <row r="10" spans="1:7" x14ac:dyDescent="0.3">
      <c r="A10" s="1">
        <v>45170</v>
      </c>
      <c r="B10">
        <f t="shared" si="0"/>
        <v>9</v>
      </c>
      <c r="C10" t="s">
        <v>9</v>
      </c>
      <c r="E10" s="7">
        <v>80</v>
      </c>
      <c r="F10">
        <v>13</v>
      </c>
      <c r="G10" s="7">
        <f t="shared" si="1"/>
        <v>0.86021505376344087</v>
      </c>
    </row>
    <row r="11" spans="1:7" x14ac:dyDescent="0.3">
      <c r="A11" s="1">
        <v>45200</v>
      </c>
      <c r="B11">
        <f t="shared" si="0"/>
        <v>10</v>
      </c>
      <c r="C11" t="s">
        <v>10</v>
      </c>
      <c r="E11" s="7">
        <v>77</v>
      </c>
      <c r="F11">
        <v>16</v>
      </c>
      <c r="G11" s="7">
        <f t="shared" si="1"/>
        <v>0.82795698924731187</v>
      </c>
    </row>
    <row r="12" spans="1:7" x14ac:dyDescent="0.3">
      <c r="A12" s="1">
        <v>45231</v>
      </c>
      <c r="B12">
        <f t="shared" si="0"/>
        <v>11</v>
      </c>
      <c r="C12" t="s">
        <v>11</v>
      </c>
      <c r="E12" s="7">
        <v>79</v>
      </c>
      <c r="F12">
        <v>14</v>
      </c>
      <c r="G12" s="7">
        <f t="shared" si="1"/>
        <v>0.84946236559139787</v>
      </c>
    </row>
    <row r="13" spans="1:7" x14ac:dyDescent="0.3">
      <c r="A13" s="1">
        <v>45261</v>
      </c>
      <c r="B13">
        <f t="shared" si="0"/>
        <v>12</v>
      </c>
      <c r="C13" t="s">
        <v>1</v>
      </c>
      <c r="E13" s="7">
        <v>82</v>
      </c>
      <c r="F13">
        <v>11</v>
      </c>
      <c r="G13" s="7">
        <f t="shared" si="1"/>
        <v>0.88172043010752688</v>
      </c>
    </row>
    <row r="14" spans="1:7" x14ac:dyDescent="0.3">
      <c r="A14" s="1">
        <v>45292</v>
      </c>
      <c r="B14">
        <f>MONTH(A14)</f>
        <v>1</v>
      </c>
      <c r="C14" t="s">
        <v>0</v>
      </c>
      <c r="E14" s="7">
        <v>82</v>
      </c>
      <c r="F14">
        <v>11</v>
      </c>
      <c r="G14" s="7">
        <f t="shared" si="1"/>
        <v>0.88172043010752688</v>
      </c>
    </row>
    <row r="15" spans="1:7" x14ac:dyDescent="0.3">
      <c r="A15" s="1">
        <v>45323</v>
      </c>
      <c r="B15">
        <f t="shared" ref="B15:B37" si="2">MONTH(A15)</f>
        <v>2</v>
      </c>
      <c r="C15" t="s">
        <v>2</v>
      </c>
      <c r="E15" s="7">
        <v>82</v>
      </c>
      <c r="F15">
        <v>11</v>
      </c>
      <c r="G15" s="7">
        <f t="shared" si="1"/>
        <v>0.88172043010752688</v>
      </c>
    </row>
    <row r="16" spans="1:7" x14ac:dyDescent="0.3">
      <c r="A16" s="1">
        <v>45352</v>
      </c>
      <c r="B16">
        <f t="shared" si="2"/>
        <v>3</v>
      </c>
      <c r="C16" t="s">
        <v>3</v>
      </c>
      <c r="E16" s="7">
        <v>82</v>
      </c>
      <c r="F16">
        <v>11</v>
      </c>
      <c r="G16" s="7">
        <f t="shared" si="1"/>
        <v>0.88172043010752688</v>
      </c>
    </row>
    <row r="17" spans="1:7" x14ac:dyDescent="0.3">
      <c r="A17" s="1">
        <v>45383</v>
      </c>
      <c r="B17">
        <f t="shared" si="2"/>
        <v>4</v>
      </c>
      <c r="C17" t="s">
        <v>4</v>
      </c>
      <c r="E17" s="7">
        <v>78</v>
      </c>
      <c r="F17">
        <v>15</v>
      </c>
      <c r="G17" s="7">
        <f t="shared" si="1"/>
        <v>0.83870967741935487</v>
      </c>
    </row>
    <row r="18" spans="1:7" x14ac:dyDescent="0.3">
      <c r="A18" s="1">
        <v>45413</v>
      </c>
      <c r="B18">
        <f t="shared" si="2"/>
        <v>5</v>
      </c>
      <c r="C18" t="s">
        <v>5</v>
      </c>
      <c r="E18" s="7">
        <v>78</v>
      </c>
      <c r="F18">
        <v>15</v>
      </c>
      <c r="G18" s="7">
        <f t="shared" si="1"/>
        <v>0.83870967741935487</v>
      </c>
    </row>
    <row r="19" spans="1:7" x14ac:dyDescent="0.3">
      <c r="A19" s="1">
        <v>45444</v>
      </c>
      <c r="B19">
        <f t="shared" si="2"/>
        <v>6</v>
      </c>
      <c r="C19" t="s">
        <v>6</v>
      </c>
      <c r="E19" s="7">
        <v>78</v>
      </c>
      <c r="F19">
        <v>15</v>
      </c>
      <c r="G19" s="7">
        <f t="shared" si="1"/>
        <v>0.83870967741935487</v>
      </c>
    </row>
    <row r="20" spans="1:7" x14ac:dyDescent="0.3">
      <c r="A20" s="1">
        <v>45474</v>
      </c>
      <c r="B20">
        <f t="shared" si="2"/>
        <v>7</v>
      </c>
      <c r="C20" t="s">
        <v>7</v>
      </c>
      <c r="E20" s="7">
        <v>74</v>
      </c>
      <c r="F20">
        <v>19</v>
      </c>
      <c r="G20" s="7">
        <f t="shared" si="1"/>
        <v>0.79569892473118276</v>
      </c>
    </row>
    <row r="21" spans="1:7" x14ac:dyDescent="0.3">
      <c r="A21" s="1">
        <v>45505</v>
      </c>
      <c r="B21">
        <f t="shared" si="2"/>
        <v>8</v>
      </c>
      <c r="C21" t="s">
        <v>8</v>
      </c>
      <c r="E21" s="7">
        <v>74</v>
      </c>
      <c r="F21">
        <v>19</v>
      </c>
      <c r="G21" s="7">
        <f t="shared" si="1"/>
        <v>0.79569892473118276</v>
      </c>
    </row>
    <row r="22" spans="1:7" x14ac:dyDescent="0.3">
      <c r="A22" s="1">
        <v>45536</v>
      </c>
      <c r="B22">
        <f t="shared" si="2"/>
        <v>9</v>
      </c>
      <c r="C22" t="s">
        <v>9</v>
      </c>
      <c r="E22" s="7">
        <v>75</v>
      </c>
      <c r="F22">
        <v>18</v>
      </c>
      <c r="G22" s="7">
        <f t="shared" si="1"/>
        <v>0.80645161290322576</v>
      </c>
    </row>
    <row r="23" spans="1:7" x14ac:dyDescent="0.3">
      <c r="A23" s="1">
        <v>45566</v>
      </c>
      <c r="B23">
        <f t="shared" si="2"/>
        <v>10</v>
      </c>
      <c r="C23" t="s">
        <v>10</v>
      </c>
      <c r="E23" s="7">
        <v>75</v>
      </c>
      <c r="F23">
        <v>18</v>
      </c>
      <c r="G23" s="7">
        <f t="shared" si="1"/>
        <v>0.80645161290322576</v>
      </c>
    </row>
    <row r="24" spans="1:7" x14ac:dyDescent="0.3">
      <c r="A24" s="1">
        <v>45597</v>
      </c>
      <c r="B24">
        <f t="shared" si="2"/>
        <v>11</v>
      </c>
      <c r="C24" t="s">
        <v>11</v>
      </c>
      <c r="E24" s="7">
        <v>75</v>
      </c>
      <c r="F24">
        <v>18</v>
      </c>
      <c r="G24" s="7">
        <f t="shared" si="1"/>
        <v>0.80645161290322576</v>
      </c>
    </row>
    <row r="25" spans="1:7" x14ac:dyDescent="0.3">
      <c r="A25" s="1">
        <v>45627</v>
      </c>
      <c r="B25">
        <f t="shared" si="2"/>
        <v>12</v>
      </c>
      <c r="C25" t="s">
        <v>1</v>
      </c>
      <c r="E25" s="7">
        <v>75</v>
      </c>
      <c r="F25">
        <v>18</v>
      </c>
      <c r="G25" s="7">
        <f t="shared" si="1"/>
        <v>0.80645161290322576</v>
      </c>
    </row>
    <row r="26" spans="1:7" x14ac:dyDescent="0.3">
      <c r="A26" s="1">
        <v>45658</v>
      </c>
      <c r="B26">
        <f t="shared" si="2"/>
        <v>1</v>
      </c>
      <c r="C26" t="s">
        <v>0</v>
      </c>
      <c r="E26" s="7">
        <v>75</v>
      </c>
      <c r="F26">
        <v>18</v>
      </c>
      <c r="G26" s="7">
        <f t="shared" si="1"/>
        <v>0.80645161290322576</v>
      </c>
    </row>
    <row r="27" spans="1:7" x14ac:dyDescent="0.3">
      <c r="A27" s="1">
        <v>45689</v>
      </c>
      <c r="B27">
        <f t="shared" si="2"/>
        <v>2</v>
      </c>
      <c r="C27" t="s">
        <v>2</v>
      </c>
      <c r="E27" s="7">
        <v>70</v>
      </c>
      <c r="F27">
        <v>23</v>
      </c>
      <c r="G27" s="7">
        <f t="shared" si="1"/>
        <v>0.75268817204301075</v>
      </c>
    </row>
    <row r="28" spans="1:7" x14ac:dyDescent="0.3">
      <c r="A28" s="1">
        <v>45717</v>
      </c>
      <c r="B28">
        <f t="shared" si="2"/>
        <v>3</v>
      </c>
      <c r="C28" t="s">
        <v>3</v>
      </c>
      <c r="E28" s="7">
        <v>72</v>
      </c>
      <c r="F28">
        <v>21</v>
      </c>
      <c r="G28" s="7">
        <f t="shared" si="1"/>
        <v>0.77419354838709675</v>
      </c>
    </row>
    <row r="29" spans="1:7" x14ac:dyDescent="0.3">
      <c r="A29" s="1">
        <v>45748</v>
      </c>
      <c r="B29">
        <f t="shared" si="2"/>
        <v>4</v>
      </c>
      <c r="C29" t="s">
        <v>4</v>
      </c>
      <c r="E29" s="7">
        <v>71</v>
      </c>
      <c r="F29">
        <v>22</v>
      </c>
      <c r="G29" s="7">
        <f t="shared" si="1"/>
        <v>0.76344086021505375</v>
      </c>
    </row>
    <row r="30" spans="1:7" x14ac:dyDescent="0.3">
      <c r="A30" s="1">
        <v>45778</v>
      </c>
      <c r="B30">
        <f t="shared" si="2"/>
        <v>5</v>
      </c>
      <c r="C30" t="s">
        <v>5</v>
      </c>
      <c r="E30" s="7">
        <v>72</v>
      </c>
      <c r="F30">
        <v>21</v>
      </c>
      <c r="G30" s="7">
        <f t="shared" si="1"/>
        <v>0.77419354838709675</v>
      </c>
    </row>
    <row r="31" spans="1:7" x14ac:dyDescent="0.3">
      <c r="A31" s="1">
        <v>45809</v>
      </c>
      <c r="B31">
        <f t="shared" si="2"/>
        <v>6</v>
      </c>
      <c r="C31" t="s">
        <v>6</v>
      </c>
      <c r="E31" s="7">
        <v>71</v>
      </c>
      <c r="F31">
        <v>22</v>
      </c>
      <c r="G31" s="7">
        <f t="shared" si="1"/>
        <v>0.76344086021505375</v>
      </c>
    </row>
    <row r="32" spans="1:7" x14ac:dyDescent="0.3">
      <c r="A32" s="1">
        <v>45839</v>
      </c>
      <c r="B32">
        <f t="shared" si="2"/>
        <v>7</v>
      </c>
      <c r="C32" t="s">
        <v>7</v>
      </c>
      <c r="E32" s="7">
        <v>71</v>
      </c>
      <c r="F32">
        <v>22</v>
      </c>
      <c r="G32" s="7">
        <f t="shared" si="1"/>
        <v>0.76344086021505375</v>
      </c>
    </row>
    <row r="33" spans="1:7" x14ac:dyDescent="0.3">
      <c r="A33" s="1">
        <v>45870</v>
      </c>
      <c r="B33">
        <f t="shared" si="2"/>
        <v>8</v>
      </c>
      <c r="C33" t="s">
        <v>8</v>
      </c>
      <c r="E33" s="7">
        <v>73</v>
      </c>
      <c r="F33">
        <v>21</v>
      </c>
      <c r="G33" s="7">
        <f t="shared" si="1"/>
        <v>0.77659574468085102</v>
      </c>
    </row>
    <row r="34" spans="1:7" x14ac:dyDescent="0.3">
      <c r="A34" s="1">
        <v>45901</v>
      </c>
      <c r="B34">
        <f t="shared" si="2"/>
        <v>9</v>
      </c>
      <c r="C34" t="s">
        <v>9</v>
      </c>
      <c r="E34" s="7">
        <v>73</v>
      </c>
      <c r="F34">
        <v>21</v>
      </c>
      <c r="G34" s="7">
        <f t="shared" si="1"/>
        <v>0.77659574468085102</v>
      </c>
    </row>
    <row r="35" spans="1:7" x14ac:dyDescent="0.3">
      <c r="A35" s="1">
        <v>45931</v>
      </c>
      <c r="B35">
        <f t="shared" si="2"/>
        <v>10</v>
      </c>
      <c r="C35" t="s">
        <v>10</v>
      </c>
      <c r="E35" s="7">
        <v>73</v>
      </c>
      <c r="F35">
        <v>19</v>
      </c>
      <c r="G35" s="7">
        <f t="shared" si="1"/>
        <v>0.79347826086956519</v>
      </c>
    </row>
    <row r="36" spans="1:7" x14ac:dyDescent="0.3">
      <c r="A36" s="1">
        <v>45962</v>
      </c>
      <c r="B36">
        <f t="shared" si="2"/>
        <v>11</v>
      </c>
      <c r="C36" t="s">
        <v>11</v>
      </c>
      <c r="E36" s="7">
        <v>73</v>
      </c>
      <c r="F36">
        <v>19</v>
      </c>
      <c r="G36" s="7">
        <f t="shared" si="1"/>
        <v>0.79347826086956519</v>
      </c>
    </row>
    <row r="37" spans="1:7" x14ac:dyDescent="0.3">
      <c r="A37" s="1">
        <v>45992</v>
      </c>
      <c r="B37">
        <f t="shared" si="2"/>
        <v>12</v>
      </c>
      <c r="C37" t="s">
        <v>1</v>
      </c>
      <c r="E37" s="7">
        <v>70</v>
      </c>
      <c r="F37">
        <v>20</v>
      </c>
      <c r="G37" s="7">
        <f t="shared" si="1"/>
        <v>0.77777777777777779</v>
      </c>
    </row>
    <row r="38" spans="1:7" x14ac:dyDescent="0.3">
      <c r="A38" s="1"/>
      <c r="E38" s="7"/>
    </row>
    <row r="39" spans="1:7" x14ac:dyDescent="0.3">
      <c r="A39" s="1"/>
      <c r="E39" s="7"/>
    </row>
    <row r="40" spans="1:7" x14ac:dyDescent="0.3">
      <c r="A40" s="1"/>
      <c r="E40" s="7"/>
    </row>
    <row r="41" spans="1:7" x14ac:dyDescent="0.3">
      <c r="A41" s="1"/>
      <c r="E41" s="7"/>
    </row>
    <row r="42" spans="1:7" x14ac:dyDescent="0.3">
      <c r="A42" s="1"/>
      <c r="E42" s="7"/>
    </row>
    <row r="43" spans="1:7" x14ac:dyDescent="0.3">
      <c r="A43" s="1"/>
      <c r="E43" s="7"/>
    </row>
    <row r="44" spans="1:7" x14ac:dyDescent="0.3">
      <c r="A44" s="1"/>
      <c r="E44" s="7"/>
    </row>
    <row r="45" spans="1:7" x14ac:dyDescent="0.3">
      <c r="A45" s="1"/>
      <c r="E45" s="7"/>
    </row>
    <row r="46" spans="1:7" x14ac:dyDescent="0.3">
      <c r="A46" s="1"/>
      <c r="E46" s="7"/>
    </row>
    <row r="47" spans="1:7" x14ac:dyDescent="0.3">
      <c r="A47" s="1"/>
      <c r="E47" s="7"/>
    </row>
    <row r="48" spans="1:7" x14ac:dyDescent="0.3">
      <c r="A48" s="1"/>
      <c r="E48" s="7"/>
    </row>
    <row r="49" spans="1:5" x14ac:dyDescent="0.3">
      <c r="A49" s="1"/>
      <c r="E49" s="7"/>
    </row>
    <row r="50" spans="1:5" x14ac:dyDescent="0.3">
      <c r="A50" s="1"/>
      <c r="E50" s="7"/>
    </row>
    <row r="51" spans="1:5" x14ac:dyDescent="0.3">
      <c r="A51" s="1"/>
      <c r="E51" s="7"/>
    </row>
    <row r="52" spans="1:5" x14ac:dyDescent="0.3">
      <c r="A52" s="1"/>
      <c r="E52" s="7"/>
    </row>
    <row r="53" spans="1:5" x14ac:dyDescent="0.3">
      <c r="A53" s="1"/>
      <c r="E53" s="7"/>
    </row>
    <row r="54" spans="1:5" x14ac:dyDescent="0.3">
      <c r="A54" s="1"/>
      <c r="E54" s="7"/>
    </row>
    <row r="55" spans="1:5" x14ac:dyDescent="0.3">
      <c r="A55" s="1"/>
      <c r="E55" s="7"/>
    </row>
    <row r="56" spans="1:5" x14ac:dyDescent="0.3">
      <c r="A56" s="1"/>
      <c r="E56" s="7"/>
    </row>
    <row r="57" spans="1:5" x14ac:dyDescent="0.3">
      <c r="A57" s="1"/>
      <c r="E57" s="7"/>
    </row>
    <row r="58" spans="1:5" x14ac:dyDescent="0.3">
      <c r="A58" s="1"/>
      <c r="E58" s="7"/>
    </row>
    <row r="59" spans="1:5" x14ac:dyDescent="0.3">
      <c r="A59" s="1"/>
      <c r="E59" s="7"/>
    </row>
    <row r="60" spans="1:5" x14ac:dyDescent="0.3">
      <c r="A60" s="1"/>
      <c r="E60" s="7"/>
    </row>
    <row r="61" spans="1:5" x14ac:dyDescent="0.3">
      <c r="A61" s="1"/>
      <c r="E61" s="7"/>
    </row>
    <row r="62" spans="1:5" x14ac:dyDescent="0.3">
      <c r="A62" s="1"/>
      <c r="E62" s="7"/>
    </row>
    <row r="63" spans="1:5" x14ac:dyDescent="0.3">
      <c r="A63" s="1"/>
      <c r="E63" s="7"/>
    </row>
    <row r="64" spans="1:5" x14ac:dyDescent="0.3">
      <c r="A64" s="1"/>
      <c r="E64" s="7"/>
    </row>
    <row r="65" spans="1:5" x14ac:dyDescent="0.3">
      <c r="A65" s="1"/>
      <c r="E65" s="7"/>
    </row>
    <row r="66" spans="1:5" x14ac:dyDescent="0.3">
      <c r="A66" s="1"/>
      <c r="E66" s="7"/>
    </row>
    <row r="67" spans="1:5" x14ac:dyDescent="0.3">
      <c r="A67" s="1"/>
      <c r="E67" s="7"/>
    </row>
    <row r="68" spans="1:5" x14ac:dyDescent="0.3">
      <c r="A68" s="1"/>
      <c r="E68" s="7"/>
    </row>
    <row r="69" spans="1:5" x14ac:dyDescent="0.3">
      <c r="A69" s="1"/>
      <c r="E69" s="7"/>
    </row>
    <row r="70" spans="1:5" x14ac:dyDescent="0.3">
      <c r="A70" s="1"/>
      <c r="E70" s="7"/>
    </row>
    <row r="71" spans="1:5" x14ac:dyDescent="0.3">
      <c r="A71" s="1"/>
      <c r="E71" s="7"/>
    </row>
    <row r="72" spans="1:5" x14ac:dyDescent="0.3">
      <c r="A72" s="1"/>
      <c r="E72" s="7"/>
    </row>
    <row r="73" spans="1:5" x14ac:dyDescent="0.3">
      <c r="A73" s="1"/>
      <c r="E73" s="7"/>
    </row>
    <row r="74" spans="1:5" x14ac:dyDescent="0.3">
      <c r="A74" s="1"/>
      <c r="E74" s="7"/>
    </row>
    <row r="75" spans="1:5" x14ac:dyDescent="0.3">
      <c r="A75" s="1"/>
      <c r="E75" s="7"/>
    </row>
    <row r="76" spans="1:5" x14ac:dyDescent="0.3">
      <c r="A76" s="1"/>
      <c r="E76" s="7"/>
    </row>
    <row r="77" spans="1:5" x14ac:dyDescent="0.3">
      <c r="A77" s="1"/>
      <c r="E77" s="7"/>
    </row>
    <row r="78" spans="1:5" x14ac:dyDescent="0.3">
      <c r="A78" s="1"/>
      <c r="E78" s="7"/>
    </row>
    <row r="79" spans="1:5" x14ac:dyDescent="0.3">
      <c r="A79" s="1"/>
      <c r="E79" s="7"/>
    </row>
    <row r="80" spans="1:5" x14ac:dyDescent="0.3">
      <c r="A80" s="1"/>
      <c r="E80" s="7"/>
    </row>
    <row r="81" spans="1:5" x14ac:dyDescent="0.3">
      <c r="A81" s="1"/>
      <c r="E81" s="7"/>
    </row>
    <row r="82" spans="1:5" x14ac:dyDescent="0.3">
      <c r="A82" s="1"/>
      <c r="E82" s="7"/>
    </row>
    <row r="83" spans="1:5" x14ac:dyDescent="0.3">
      <c r="A83" s="1"/>
      <c r="E83" s="7"/>
    </row>
    <row r="84" spans="1:5" x14ac:dyDescent="0.3">
      <c r="A84" s="1"/>
      <c r="E84" s="7"/>
    </row>
    <row r="85" spans="1:5" x14ac:dyDescent="0.3">
      <c r="A85" s="1"/>
      <c r="E85" s="7"/>
    </row>
    <row r="86" spans="1:5" x14ac:dyDescent="0.3">
      <c r="A86" s="1"/>
      <c r="E86" s="7"/>
    </row>
    <row r="87" spans="1:5" x14ac:dyDescent="0.3">
      <c r="A87" s="1"/>
      <c r="E87" s="7"/>
    </row>
    <row r="88" spans="1:5" x14ac:dyDescent="0.3">
      <c r="A88" s="1"/>
      <c r="E88" s="7"/>
    </row>
    <row r="89" spans="1:5" x14ac:dyDescent="0.3">
      <c r="A89" s="1"/>
      <c r="E89" s="7"/>
    </row>
    <row r="90" spans="1:5" x14ac:dyDescent="0.3">
      <c r="A90" s="1"/>
      <c r="E90" s="7"/>
    </row>
    <row r="91" spans="1:5" x14ac:dyDescent="0.3">
      <c r="A91" s="1"/>
      <c r="E91" s="7"/>
    </row>
    <row r="92" spans="1:5" x14ac:dyDescent="0.3">
      <c r="A92" s="1"/>
      <c r="E92" s="7"/>
    </row>
    <row r="93" spans="1:5" x14ac:dyDescent="0.3">
      <c r="A93" s="1"/>
      <c r="E93" s="7"/>
    </row>
    <row r="94" spans="1:5" x14ac:dyDescent="0.3">
      <c r="A94" s="1"/>
      <c r="E94" s="7"/>
    </row>
    <row r="95" spans="1:5" x14ac:dyDescent="0.3">
      <c r="A95" s="1"/>
      <c r="E95" s="7"/>
    </row>
    <row r="96" spans="1:5" x14ac:dyDescent="0.3">
      <c r="A96" s="1"/>
      <c r="E96" s="7"/>
    </row>
    <row r="97" spans="1:5" x14ac:dyDescent="0.3">
      <c r="A97" s="1"/>
      <c r="E97" s="7"/>
    </row>
    <row r="98" spans="1:5" x14ac:dyDescent="0.3">
      <c r="A98" s="1"/>
      <c r="E98" s="7"/>
    </row>
    <row r="99" spans="1:5" x14ac:dyDescent="0.3">
      <c r="A99" s="1"/>
      <c r="E99" s="7"/>
    </row>
    <row r="100" spans="1:5" x14ac:dyDescent="0.3">
      <c r="A100" s="1"/>
      <c r="E100" s="7"/>
    </row>
    <row r="101" spans="1:5" x14ac:dyDescent="0.3">
      <c r="A101" s="1"/>
      <c r="E101" s="7"/>
    </row>
    <row r="102" spans="1:5" x14ac:dyDescent="0.3">
      <c r="A102" s="1"/>
      <c r="E102" s="7"/>
    </row>
    <row r="103" spans="1:5" x14ac:dyDescent="0.3">
      <c r="A103" s="1"/>
      <c r="E103" s="7"/>
    </row>
    <row r="104" spans="1:5" x14ac:dyDescent="0.3">
      <c r="A104" s="1"/>
      <c r="E104" s="7"/>
    </row>
    <row r="105" spans="1:5" x14ac:dyDescent="0.3">
      <c r="A105" s="1"/>
      <c r="E105" s="7"/>
    </row>
    <row r="106" spans="1:5" x14ac:dyDescent="0.3">
      <c r="A106" s="1"/>
      <c r="E106" s="7"/>
    </row>
    <row r="107" spans="1:5" x14ac:dyDescent="0.3">
      <c r="A107" s="1"/>
      <c r="E107" s="7"/>
    </row>
    <row r="108" spans="1:5" x14ac:dyDescent="0.3">
      <c r="A108" s="1"/>
      <c r="E108" s="7"/>
    </row>
    <row r="109" spans="1:5" x14ac:dyDescent="0.3">
      <c r="A109" s="1"/>
      <c r="E109" s="7"/>
    </row>
    <row r="110" spans="1:5" x14ac:dyDescent="0.3">
      <c r="A110" s="1"/>
      <c r="E110" s="7"/>
    </row>
    <row r="111" spans="1:5" x14ac:dyDescent="0.3">
      <c r="A111" s="1"/>
      <c r="E111" s="7"/>
    </row>
    <row r="112" spans="1:5" x14ac:dyDescent="0.3">
      <c r="A112" s="1"/>
      <c r="E112" s="7"/>
    </row>
    <row r="113" spans="1:5" x14ac:dyDescent="0.3">
      <c r="A113" s="1"/>
      <c r="E113" s="7"/>
    </row>
    <row r="114" spans="1:5" x14ac:dyDescent="0.3">
      <c r="A114" s="1"/>
      <c r="E114" s="7"/>
    </row>
    <row r="115" spans="1:5" x14ac:dyDescent="0.3">
      <c r="A115" s="1"/>
      <c r="E115" s="7"/>
    </row>
    <row r="116" spans="1:5" x14ac:dyDescent="0.3">
      <c r="A116" s="1"/>
      <c r="E116" s="7"/>
    </row>
    <row r="117" spans="1:5" x14ac:dyDescent="0.3">
      <c r="A117" s="1"/>
      <c r="E117" s="7"/>
    </row>
    <row r="118" spans="1:5" x14ac:dyDescent="0.3">
      <c r="A118" s="1"/>
      <c r="E118" s="7"/>
    </row>
    <row r="119" spans="1:5" x14ac:dyDescent="0.3">
      <c r="A119" s="1"/>
      <c r="E119" s="7"/>
    </row>
    <row r="120" spans="1:5" x14ac:dyDescent="0.3">
      <c r="A120" s="1"/>
      <c r="E120" s="7"/>
    </row>
    <row r="121" spans="1:5" x14ac:dyDescent="0.3">
      <c r="A121" s="1"/>
      <c r="E121" s="7"/>
    </row>
    <row r="122" spans="1:5" x14ac:dyDescent="0.3">
      <c r="A122" s="1"/>
      <c r="E122" s="7"/>
    </row>
    <row r="123" spans="1:5" x14ac:dyDescent="0.3">
      <c r="A123" s="1"/>
      <c r="E123" s="7"/>
    </row>
    <row r="124" spans="1:5" x14ac:dyDescent="0.3">
      <c r="A124" s="1"/>
      <c r="E124" s="7"/>
    </row>
    <row r="125" spans="1:5" x14ac:dyDescent="0.3">
      <c r="A125" s="1"/>
      <c r="E125" s="7"/>
    </row>
    <row r="126" spans="1:5" x14ac:dyDescent="0.3">
      <c r="A126" s="1"/>
      <c r="E126" s="7"/>
    </row>
    <row r="127" spans="1:5" x14ac:dyDescent="0.3">
      <c r="A127" s="1"/>
      <c r="E127" s="7"/>
    </row>
    <row r="128" spans="1:5" x14ac:dyDescent="0.3">
      <c r="A128" s="1"/>
      <c r="E128" s="7"/>
    </row>
    <row r="129" spans="1:5" x14ac:dyDescent="0.3">
      <c r="A129" s="1"/>
      <c r="E129" s="7"/>
    </row>
    <row r="130" spans="1:5" x14ac:dyDescent="0.3">
      <c r="A130" s="1"/>
      <c r="E130" s="7"/>
    </row>
    <row r="131" spans="1:5" x14ac:dyDescent="0.3">
      <c r="A131" s="1"/>
      <c r="E131" s="7"/>
    </row>
    <row r="132" spans="1:5" x14ac:dyDescent="0.3">
      <c r="A132" s="1"/>
      <c r="E132" s="7"/>
    </row>
    <row r="133" spans="1:5" x14ac:dyDescent="0.3">
      <c r="A133" s="1"/>
      <c r="E133" s="7"/>
    </row>
    <row r="134" spans="1:5" x14ac:dyDescent="0.3">
      <c r="A134" s="1"/>
      <c r="E134" s="7"/>
    </row>
    <row r="135" spans="1:5" x14ac:dyDescent="0.3">
      <c r="A135" s="1"/>
      <c r="E135" s="7"/>
    </row>
    <row r="136" spans="1:5" x14ac:dyDescent="0.3">
      <c r="A136" s="1"/>
      <c r="E136" s="7"/>
    </row>
    <row r="137" spans="1:5" x14ac:dyDescent="0.3">
      <c r="A137" s="1"/>
      <c r="E137" s="7"/>
    </row>
    <row r="138" spans="1:5" x14ac:dyDescent="0.3">
      <c r="A138" s="1"/>
      <c r="E138" s="7"/>
    </row>
    <row r="139" spans="1:5" x14ac:dyDescent="0.3">
      <c r="A139" s="1"/>
      <c r="E139" s="7"/>
    </row>
    <row r="140" spans="1:5" x14ac:dyDescent="0.3">
      <c r="A140" s="1"/>
      <c r="E140" s="7"/>
    </row>
    <row r="141" spans="1:5" x14ac:dyDescent="0.3">
      <c r="A141" s="1"/>
      <c r="E141" s="7"/>
    </row>
    <row r="142" spans="1:5" x14ac:dyDescent="0.3">
      <c r="A142" s="1"/>
      <c r="E142" s="7"/>
    </row>
    <row r="143" spans="1:5" x14ac:dyDescent="0.3">
      <c r="A143" s="1"/>
      <c r="E143" s="7"/>
    </row>
    <row r="144" spans="1:5" x14ac:dyDescent="0.3">
      <c r="A144" s="1"/>
      <c r="E144" s="7"/>
    </row>
    <row r="145" spans="1:5" x14ac:dyDescent="0.3">
      <c r="A145" s="1"/>
      <c r="E145" s="7"/>
    </row>
    <row r="146" spans="1:5" x14ac:dyDescent="0.3">
      <c r="A146" s="1"/>
      <c r="E146" s="7"/>
    </row>
    <row r="147" spans="1:5" x14ac:dyDescent="0.3">
      <c r="A147" s="1"/>
      <c r="E147" s="7"/>
    </row>
    <row r="148" spans="1:5" x14ac:dyDescent="0.3">
      <c r="A148" s="1"/>
      <c r="E148" s="7"/>
    </row>
    <row r="149" spans="1:5" x14ac:dyDescent="0.3">
      <c r="A149" s="1"/>
      <c r="E149" s="7"/>
    </row>
    <row r="150" spans="1:5" x14ac:dyDescent="0.3">
      <c r="A150" s="1"/>
      <c r="E150" s="7"/>
    </row>
    <row r="151" spans="1:5" x14ac:dyDescent="0.3">
      <c r="A151" s="1"/>
      <c r="E151" s="7"/>
    </row>
    <row r="152" spans="1:5" x14ac:dyDescent="0.3">
      <c r="A152" s="1"/>
      <c r="E152" s="7"/>
    </row>
    <row r="153" spans="1:5" x14ac:dyDescent="0.3">
      <c r="A153" s="1"/>
      <c r="E153" s="7"/>
    </row>
    <row r="154" spans="1:5" x14ac:dyDescent="0.3">
      <c r="A154" s="1"/>
      <c r="E154" s="7"/>
    </row>
    <row r="155" spans="1:5" x14ac:dyDescent="0.3">
      <c r="A155" s="1"/>
      <c r="E155" s="7"/>
    </row>
    <row r="156" spans="1:5" x14ac:dyDescent="0.3">
      <c r="A156" s="1"/>
      <c r="E156" s="7"/>
    </row>
    <row r="157" spans="1:5" x14ac:dyDescent="0.3">
      <c r="A157" s="1"/>
      <c r="E157" s="7"/>
    </row>
  </sheetData>
  <printOptions horizontalCentered="1"/>
  <pageMargins left="0.31496062992125984" right="0.31496062992125984" top="0.35433070866141736" bottom="0.35433070866141736" header="0.31496062992125984" footer="0.31496062992125984"/>
  <pageSetup scale="68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964D9-0F3E-4884-87B8-DCACA29961EF}">
  <sheetPr>
    <tabColor rgb="FF00B050"/>
    <pageSetUpPr fitToPage="1"/>
  </sheetPr>
  <dimension ref="A1:G157"/>
  <sheetViews>
    <sheetView showGridLines="0" tabSelected="1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A2" sqref="A2"/>
    </sheetView>
  </sheetViews>
  <sheetFormatPr baseColWidth="10" defaultRowHeight="14.4" x14ac:dyDescent="0.3"/>
  <cols>
    <col min="2" max="3" width="6.21875" customWidth="1"/>
    <col min="4" max="4" width="12" customWidth="1"/>
    <col min="5" max="5" width="11.88671875" bestFit="1" customWidth="1"/>
  </cols>
  <sheetData>
    <row r="1" spans="1:7" x14ac:dyDescent="0.3">
      <c r="A1" s="2" t="s">
        <v>13</v>
      </c>
      <c r="B1" s="3" t="s">
        <v>14</v>
      </c>
      <c r="C1" s="5" t="s">
        <v>15</v>
      </c>
      <c r="D1" s="5" t="s">
        <v>16</v>
      </c>
      <c r="E1" t="s">
        <v>35</v>
      </c>
    </row>
    <row r="2" spans="1:7" x14ac:dyDescent="0.3">
      <c r="A2" s="1">
        <v>44927</v>
      </c>
      <c r="B2">
        <f>MONTH(A2)</f>
        <v>1</v>
      </c>
      <c r="C2" t="s">
        <v>0</v>
      </c>
      <c r="E2" s="7">
        <v>43938853.779999994</v>
      </c>
      <c r="G2" s="7"/>
    </row>
    <row r="3" spans="1:7" x14ac:dyDescent="0.3">
      <c r="A3" s="1">
        <v>44958</v>
      </c>
      <c r="B3">
        <f t="shared" ref="B3:B13" si="0">MONTH(A3)</f>
        <v>2</v>
      </c>
      <c r="C3" t="s">
        <v>2</v>
      </c>
      <c r="E3" s="7">
        <v>39326838.420000002</v>
      </c>
      <c r="G3" s="7"/>
    </row>
    <row r="4" spans="1:7" x14ac:dyDescent="0.3">
      <c r="A4" s="1">
        <v>44986</v>
      </c>
      <c r="B4">
        <f t="shared" si="0"/>
        <v>3</v>
      </c>
      <c r="C4" t="s">
        <v>3</v>
      </c>
      <c r="E4" s="7">
        <v>42058339.600000001</v>
      </c>
      <c r="G4" s="7"/>
    </row>
    <row r="5" spans="1:7" x14ac:dyDescent="0.3">
      <c r="A5" s="1">
        <v>45017</v>
      </c>
      <c r="B5">
        <f t="shared" si="0"/>
        <v>4</v>
      </c>
      <c r="C5" t="s">
        <v>4</v>
      </c>
      <c r="E5" s="7">
        <v>49277559.240000002</v>
      </c>
      <c r="G5" s="7"/>
    </row>
    <row r="6" spans="1:7" x14ac:dyDescent="0.3">
      <c r="A6" s="1">
        <v>45047</v>
      </c>
      <c r="B6">
        <f t="shared" si="0"/>
        <v>5</v>
      </c>
      <c r="C6" t="s">
        <v>5</v>
      </c>
      <c r="E6" s="7">
        <v>51576992.789999999</v>
      </c>
      <c r="G6" s="7"/>
    </row>
    <row r="7" spans="1:7" x14ac:dyDescent="0.3">
      <c r="A7" s="1">
        <v>45078</v>
      </c>
      <c r="B7">
        <f t="shared" si="0"/>
        <v>6</v>
      </c>
      <c r="C7" t="s">
        <v>6</v>
      </c>
      <c r="E7" s="7">
        <v>47627680.770000003</v>
      </c>
      <c r="G7" s="7"/>
    </row>
    <row r="8" spans="1:7" x14ac:dyDescent="0.3">
      <c r="A8" s="1">
        <v>45108</v>
      </c>
      <c r="B8">
        <f t="shared" si="0"/>
        <v>7</v>
      </c>
      <c r="C8" t="s">
        <v>7</v>
      </c>
      <c r="E8" s="7">
        <v>51356011.93</v>
      </c>
      <c r="G8" s="7"/>
    </row>
    <row r="9" spans="1:7" x14ac:dyDescent="0.3">
      <c r="A9" s="1">
        <v>45139</v>
      </c>
      <c r="B9">
        <f t="shared" si="0"/>
        <v>8</v>
      </c>
      <c r="C9" t="s">
        <v>8</v>
      </c>
      <c r="E9" s="7">
        <v>49641328.090000004</v>
      </c>
      <c r="G9" s="7"/>
    </row>
    <row r="10" spans="1:7" x14ac:dyDescent="0.3">
      <c r="A10" s="1">
        <v>45170</v>
      </c>
      <c r="B10">
        <f t="shared" si="0"/>
        <v>9</v>
      </c>
      <c r="C10" t="s">
        <v>9</v>
      </c>
      <c r="E10" s="7">
        <v>49160050.949999996</v>
      </c>
      <c r="G10" s="7"/>
    </row>
    <row r="11" spans="1:7" x14ac:dyDescent="0.3">
      <c r="A11" s="1">
        <v>45200</v>
      </c>
      <c r="B11">
        <f t="shared" si="0"/>
        <v>10</v>
      </c>
      <c r="C11" t="s">
        <v>10</v>
      </c>
      <c r="E11" s="7">
        <v>48849528.259999998</v>
      </c>
      <c r="G11" s="7"/>
    </row>
    <row r="12" spans="1:7" x14ac:dyDescent="0.3">
      <c r="A12" s="1">
        <v>45231</v>
      </c>
      <c r="B12">
        <f t="shared" si="0"/>
        <v>11</v>
      </c>
      <c r="C12" t="s">
        <v>11</v>
      </c>
      <c r="E12" s="7">
        <v>50152556.800000004</v>
      </c>
      <c r="G12" s="7"/>
    </row>
    <row r="13" spans="1:7" x14ac:dyDescent="0.3">
      <c r="A13" s="1">
        <v>45261</v>
      </c>
      <c r="B13">
        <f t="shared" si="0"/>
        <v>12</v>
      </c>
      <c r="C13" t="s">
        <v>1</v>
      </c>
      <c r="E13" s="7">
        <v>68503128.75</v>
      </c>
      <c r="G13" s="7"/>
    </row>
    <row r="14" spans="1:7" x14ac:dyDescent="0.3">
      <c r="A14" s="1">
        <v>45292</v>
      </c>
      <c r="B14">
        <f>MONTH(A14)</f>
        <v>1</v>
      </c>
      <c r="C14" t="s">
        <v>0</v>
      </c>
      <c r="E14" s="7">
        <v>47102245.807800002</v>
      </c>
      <c r="G14" s="7"/>
    </row>
    <row r="15" spans="1:7" x14ac:dyDescent="0.3">
      <c r="A15" s="1">
        <v>45323</v>
      </c>
      <c r="B15">
        <f t="shared" ref="B15:B37" si="1">MONTH(A15)</f>
        <v>2</v>
      </c>
      <c r="C15" t="s">
        <v>2</v>
      </c>
      <c r="E15" s="7">
        <v>43232055.100000001</v>
      </c>
      <c r="G15" s="7"/>
    </row>
    <row r="16" spans="1:7" x14ac:dyDescent="0.3">
      <c r="A16" s="1">
        <v>45352</v>
      </c>
      <c r="B16">
        <f t="shared" si="1"/>
        <v>3</v>
      </c>
      <c r="C16" t="s">
        <v>3</v>
      </c>
      <c r="E16" s="7">
        <v>47452746.540000014</v>
      </c>
      <c r="G16" s="7"/>
    </row>
    <row r="17" spans="1:7" x14ac:dyDescent="0.3">
      <c r="A17" s="1">
        <v>45383</v>
      </c>
      <c r="B17">
        <f t="shared" si="1"/>
        <v>4</v>
      </c>
      <c r="C17" t="s">
        <v>4</v>
      </c>
      <c r="E17" s="7">
        <v>43827726.560000002</v>
      </c>
      <c r="G17" s="7"/>
    </row>
    <row r="18" spans="1:7" x14ac:dyDescent="0.3">
      <c r="A18" s="1">
        <v>45413</v>
      </c>
      <c r="B18">
        <f t="shared" si="1"/>
        <v>5</v>
      </c>
      <c r="C18" t="s">
        <v>5</v>
      </c>
      <c r="E18" s="7">
        <v>47938805.939999998</v>
      </c>
      <c r="G18" s="7"/>
    </row>
    <row r="19" spans="1:7" x14ac:dyDescent="0.3">
      <c r="A19" s="1">
        <v>45444</v>
      </c>
      <c r="B19">
        <f t="shared" si="1"/>
        <v>6</v>
      </c>
      <c r="C19" t="s">
        <v>6</v>
      </c>
      <c r="E19" s="7">
        <v>49181640.340000004</v>
      </c>
      <c r="G19" s="7"/>
    </row>
    <row r="20" spans="1:7" x14ac:dyDescent="0.3">
      <c r="A20" s="1">
        <v>45474</v>
      </c>
      <c r="B20">
        <f t="shared" si="1"/>
        <v>7</v>
      </c>
      <c r="C20" t="s">
        <v>7</v>
      </c>
      <c r="E20" s="7">
        <v>48637044.270000003</v>
      </c>
      <c r="G20" s="7"/>
    </row>
    <row r="21" spans="1:7" x14ac:dyDescent="0.3">
      <c r="A21" s="1">
        <v>45505</v>
      </c>
      <c r="B21">
        <f t="shared" si="1"/>
        <v>8</v>
      </c>
      <c r="C21" t="s">
        <v>8</v>
      </c>
      <c r="E21" s="7">
        <v>47439093.549999997</v>
      </c>
      <c r="G21" s="7"/>
    </row>
    <row r="22" spans="1:7" x14ac:dyDescent="0.3">
      <c r="A22" s="1">
        <v>45536</v>
      </c>
      <c r="B22">
        <f t="shared" si="1"/>
        <v>9</v>
      </c>
      <c r="C22" t="s">
        <v>9</v>
      </c>
      <c r="E22" s="7">
        <v>45603292.539999999</v>
      </c>
      <c r="G22" s="7"/>
    </row>
    <row r="23" spans="1:7" x14ac:dyDescent="0.3">
      <c r="A23" s="1">
        <v>45566</v>
      </c>
      <c r="B23">
        <f t="shared" si="1"/>
        <v>10</v>
      </c>
      <c r="C23" t="s">
        <v>10</v>
      </c>
      <c r="E23" s="7">
        <v>43441445.790000007</v>
      </c>
      <c r="G23" s="7"/>
    </row>
    <row r="24" spans="1:7" x14ac:dyDescent="0.3">
      <c r="A24" s="1">
        <v>45597</v>
      </c>
      <c r="B24">
        <f t="shared" si="1"/>
        <v>11</v>
      </c>
      <c r="C24" t="s">
        <v>11</v>
      </c>
      <c r="E24" s="7">
        <v>47924271.169999994</v>
      </c>
      <c r="G24" s="7"/>
    </row>
    <row r="25" spans="1:7" x14ac:dyDescent="0.3">
      <c r="A25" s="1">
        <v>45627</v>
      </c>
      <c r="B25">
        <f t="shared" si="1"/>
        <v>12</v>
      </c>
      <c r="C25" t="s">
        <v>1</v>
      </c>
      <c r="E25" s="7">
        <v>62731460.899999999</v>
      </c>
      <c r="G25" s="7"/>
    </row>
    <row r="26" spans="1:7" x14ac:dyDescent="0.3">
      <c r="A26" s="1">
        <v>45658</v>
      </c>
      <c r="B26">
        <f t="shared" si="1"/>
        <v>1</v>
      </c>
      <c r="C26" t="s">
        <v>0</v>
      </c>
      <c r="E26" s="7">
        <v>38841169.5</v>
      </c>
      <c r="G26" s="7"/>
    </row>
    <row r="27" spans="1:7" x14ac:dyDescent="0.3">
      <c r="A27" s="1">
        <v>45689</v>
      </c>
      <c r="B27">
        <f t="shared" si="1"/>
        <v>2</v>
      </c>
      <c r="C27" t="s">
        <v>2</v>
      </c>
      <c r="E27" s="7">
        <v>36243528.719999999</v>
      </c>
      <c r="G27" s="7"/>
    </row>
    <row r="28" spans="1:7" x14ac:dyDescent="0.3">
      <c r="A28" s="1">
        <v>45717</v>
      </c>
      <c r="B28">
        <f t="shared" si="1"/>
        <v>3</v>
      </c>
      <c r="C28" t="s">
        <v>3</v>
      </c>
      <c r="E28" s="7">
        <v>41319515.289999999</v>
      </c>
      <c r="G28" s="7"/>
    </row>
    <row r="29" spans="1:7" x14ac:dyDescent="0.3">
      <c r="A29" s="1">
        <v>45748</v>
      </c>
      <c r="B29">
        <f t="shared" si="1"/>
        <v>4</v>
      </c>
      <c r="C29" t="s">
        <v>4</v>
      </c>
      <c r="E29" s="7">
        <v>41716146.089999996</v>
      </c>
      <c r="G29" s="7"/>
    </row>
    <row r="30" spans="1:7" x14ac:dyDescent="0.3">
      <c r="A30" s="1">
        <v>45778</v>
      </c>
      <c r="B30">
        <f t="shared" si="1"/>
        <v>5</v>
      </c>
      <c r="C30" t="s">
        <v>5</v>
      </c>
      <c r="E30" s="7">
        <v>46096389.439999998</v>
      </c>
      <c r="G30" s="7"/>
    </row>
    <row r="31" spans="1:7" x14ac:dyDescent="0.3">
      <c r="A31" s="1">
        <v>45809</v>
      </c>
      <c r="B31">
        <f t="shared" si="1"/>
        <v>6</v>
      </c>
      <c r="C31" t="s">
        <v>6</v>
      </c>
      <c r="E31" s="7">
        <v>42976349.260000005</v>
      </c>
      <c r="G31" s="7"/>
    </row>
    <row r="32" spans="1:7" x14ac:dyDescent="0.3">
      <c r="A32" s="1">
        <v>45839</v>
      </c>
      <c r="B32">
        <f t="shared" si="1"/>
        <v>7</v>
      </c>
      <c r="C32" t="s">
        <v>7</v>
      </c>
      <c r="E32" s="7">
        <v>41553555.780000009</v>
      </c>
      <c r="G32" s="7"/>
    </row>
    <row r="33" spans="1:7" x14ac:dyDescent="0.3">
      <c r="A33" s="1">
        <v>45870</v>
      </c>
      <c r="B33">
        <f t="shared" si="1"/>
        <v>8</v>
      </c>
      <c r="C33" t="s">
        <v>8</v>
      </c>
      <c r="E33" s="7">
        <v>43995549.030000001</v>
      </c>
      <c r="G33" s="7"/>
    </row>
    <row r="34" spans="1:7" x14ac:dyDescent="0.3">
      <c r="A34" s="1">
        <v>45901</v>
      </c>
      <c r="B34">
        <f t="shared" si="1"/>
        <v>9</v>
      </c>
      <c r="C34" t="s">
        <v>9</v>
      </c>
      <c r="E34" s="7">
        <v>40970835.439999998</v>
      </c>
      <c r="G34" s="7"/>
    </row>
    <row r="35" spans="1:7" x14ac:dyDescent="0.3">
      <c r="A35" s="1">
        <v>45931</v>
      </c>
      <c r="B35">
        <f t="shared" si="1"/>
        <v>10</v>
      </c>
      <c r="C35" t="s">
        <v>10</v>
      </c>
      <c r="E35" s="7">
        <v>38949082.430000007</v>
      </c>
      <c r="G35" s="7"/>
    </row>
    <row r="36" spans="1:7" x14ac:dyDescent="0.3">
      <c r="A36" s="1">
        <v>45962</v>
      </c>
      <c r="B36">
        <f t="shared" si="1"/>
        <v>11</v>
      </c>
      <c r="C36" t="s">
        <v>11</v>
      </c>
      <c r="E36" s="7">
        <v>44258408.190000005</v>
      </c>
      <c r="G36" s="7"/>
    </row>
    <row r="37" spans="1:7" x14ac:dyDescent="0.3">
      <c r="A37" s="1">
        <v>45992</v>
      </c>
      <c r="B37">
        <f t="shared" si="1"/>
        <v>12</v>
      </c>
      <c r="C37" t="s">
        <v>1</v>
      </c>
      <c r="E37" s="7">
        <v>54718002.490000002</v>
      </c>
      <c r="G37" s="7"/>
    </row>
    <row r="38" spans="1:7" x14ac:dyDescent="0.3">
      <c r="A38" s="1"/>
      <c r="E38" s="7"/>
    </row>
    <row r="39" spans="1:7" x14ac:dyDescent="0.3">
      <c r="A39" s="1"/>
      <c r="E39" s="7"/>
    </row>
    <row r="40" spans="1:7" x14ac:dyDescent="0.3">
      <c r="A40" s="1"/>
      <c r="E40" s="7"/>
    </row>
    <row r="41" spans="1:7" x14ac:dyDescent="0.3">
      <c r="A41" s="1"/>
      <c r="E41" s="7"/>
    </row>
    <row r="42" spans="1:7" x14ac:dyDescent="0.3">
      <c r="A42" s="1"/>
      <c r="E42" s="7"/>
    </row>
    <row r="43" spans="1:7" x14ac:dyDescent="0.3">
      <c r="A43" s="1"/>
      <c r="E43" s="7"/>
    </row>
    <row r="44" spans="1:7" x14ac:dyDescent="0.3">
      <c r="A44" s="1"/>
      <c r="E44" s="7"/>
    </row>
    <row r="45" spans="1:7" x14ac:dyDescent="0.3">
      <c r="A45" s="1"/>
      <c r="E45" s="7"/>
    </row>
    <row r="46" spans="1:7" x14ac:dyDescent="0.3">
      <c r="A46" s="1"/>
      <c r="E46" s="7"/>
    </row>
    <row r="47" spans="1:7" x14ac:dyDescent="0.3">
      <c r="A47" s="1"/>
      <c r="E47" s="7"/>
    </row>
    <row r="48" spans="1:7" x14ac:dyDescent="0.3">
      <c r="A48" s="1"/>
      <c r="E48" s="7"/>
    </row>
    <row r="49" spans="1:5" x14ac:dyDescent="0.3">
      <c r="A49" s="1"/>
      <c r="E49" s="7"/>
    </row>
    <row r="50" spans="1:5" x14ac:dyDescent="0.3">
      <c r="A50" s="1"/>
      <c r="E50" s="7"/>
    </row>
    <row r="51" spans="1:5" x14ac:dyDescent="0.3">
      <c r="A51" s="1"/>
      <c r="E51" s="7"/>
    </row>
    <row r="52" spans="1:5" x14ac:dyDescent="0.3">
      <c r="A52" s="1"/>
      <c r="E52" s="7"/>
    </row>
    <row r="53" spans="1:5" x14ac:dyDescent="0.3">
      <c r="A53" s="1"/>
      <c r="E53" s="7"/>
    </row>
    <row r="54" spans="1:5" x14ac:dyDescent="0.3">
      <c r="A54" s="1"/>
      <c r="E54" s="7"/>
    </row>
    <row r="55" spans="1:5" x14ac:dyDescent="0.3">
      <c r="A55" s="1"/>
      <c r="E55" s="7"/>
    </row>
    <row r="56" spans="1:5" x14ac:dyDescent="0.3">
      <c r="A56" s="1"/>
      <c r="E56" s="7"/>
    </row>
    <row r="57" spans="1:5" x14ac:dyDescent="0.3">
      <c r="A57" s="1"/>
      <c r="E57" s="7"/>
    </row>
    <row r="58" spans="1:5" x14ac:dyDescent="0.3">
      <c r="A58" s="1"/>
      <c r="E58" s="7"/>
    </row>
    <row r="59" spans="1:5" x14ac:dyDescent="0.3">
      <c r="A59" s="1"/>
      <c r="E59" s="7"/>
    </row>
    <row r="60" spans="1:5" x14ac:dyDescent="0.3">
      <c r="A60" s="1"/>
      <c r="E60" s="7"/>
    </row>
    <row r="61" spans="1:5" x14ac:dyDescent="0.3">
      <c r="A61" s="1"/>
      <c r="E61" s="7"/>
    </row>
    <row r="62" spans="1:5" x14ac:dyDescent="0.3">
      <c r="A62" s="1"/>
      <c r="E62" s="7"/>
    </row>
    <row r="63" spans="1:5" x14ac:dyDescent="0.3">
      <c r="A63" s="1"/>
      <c r="E63" s="7"/>
    </row>
    <row r="64" spans="1:5" x14ac:dyDescent="0.3">
      <c r="A64" s="1"/>
      <c r="E64" s="7"/>
    </row>
    <row r="65" spans="1:5" x14ac:dyDescent="0.3">
      <c r="A65" s="1"/>
      <c r="E65" s="7"/>
    </row>
    <row r="66" spans="1:5" x14ac:dyDescent="0.3">
      <c r="A66" s="1"/>
      <c r="E66" s="7"/>
    </row>
    <row r="67" spans="1:5" x14ac:dyDescent="0.3">
      <c r="A67" s="1"/>
      <c r="E67" s="7"/>
    </row>
    <row r="68" spans="1:5" x14ac:dyDescent="0.3">
      <c r="A68" s="1"/>
      <c r="E68" s="7"/>
    </row>
    <row r="69" spans="1:5" x14ac:dyDescent="0.3">
      <c r="A69" s="1"/>
      <c r="E69" s="7"/>
    </row>
    <row r="70" spans="1:5" x14ac:dyDescent="0.3">
      <c r="A70" s="1"/>
      <c r="E70" s="7"/>
    </row>
    <row r="71" spans="1:5" x14ac:dyDescent="0.3">
      <c r="A71" s="1"/>
      <c r="E71" s="7"/>
    </row>
    <row r="72" spans="1:5" x14ac:dyDescent="0.3">
      <c r="A72" s="1"/>
      <c r="E72" s="7"/>
    </row>
    <row r="73" spans="1:5" x14ac:dyDescent="0.3">
      <c r="A73" s="1"/>
      <c r="E73" s="7"/>
    </row>
    <row r="74" spans="1:5" x14ac:dyDescent="0.3">
      <c r="A74" s="1"/>
      <c r="E74" s="7"/>
    </row>
    <row r="75" spans="1:5" x14ac:dyDescent="0.3">
      <c r="A75" s="1"/>
      <c r="E75" s="7"/>
    </row>
    <row r="76" spans="1:5" x14ac:dyDescent="0.3">
      <c r="A76" s="1"/>
      <c r="E76" s="7"/>
    </row>
    <row r="77" spans="1:5" x14ac:dyDescent="0.3">
      <c r="A77" s="1"/>
      <c r="E77" s="7"/>
    </row>
    <row r="78" spans="1:5" x14ac:dyDescent="0.3">
      <c r="A78" s="1"/>
      <c r="E78" s="7"/>
    </row>
    <row r="79" spans="1:5" x14ac:dyDescent="0.3">
      <c r="A79" s="1"/>
      <c r="E79" s="7"/>
    </row>
    <row r="80" spans="1:5" x14ac:dyDescent="0.3">
      <c r="A80" s="1"/>
      <c r="E80" s="7"/>
    </row>
    <row r="81" spans="1:5" x14ac:dyDescent="0.3">
      <c r="A81" s="1"/>
      <c r="E81" s="7"/>
    </row>
    <row r="82" spans="1:5" x14ac:dyDescent="0.3">
      <c r="A82" s="1"/>
      <c r="E82" s="7"/>
    </row>
    <row r="83" spans="1:5" x14ac:dyDescent="0.3">
      <c r="A83" s="1"/>
      <c r="E83" s="7"/>
    </row>
    <row r="84" spans="1:5" x14ac:dyDescent="0.3">
      <c r="A84" s="1"/>
      <c r="E84" s="7"/>
    </row>
    <row r="85" spans="1:5" x14ac:dyDescent="0.3">
      <c r="A85" s="1"/>
      <c r="E85" s="7"/>
    </row>
    <row r="86" spans="1:5" x14ac:dyDescent="0.3">
      <c r="A86" s="1"/>
      <c r="E86" s="7"/>
    </row>
    <row r="87" spans="1:5" x14ac:dyDescent="0.3">
      <c r="A87" s="1"/>
      <c r="E87" s="7"/>
    </row>
    <row r="88" spans="1:5" x14ac:dyDescent="0.3">
      <c r="A88" s="1"/>
      <c r="E88" s="7"/>
    </row>
    <row r="89" spans="1:5" x14ac:dyDescent="0.3">
      <c r="A89" s="1"/>
      <c r="E89" s="7"/>
    </row>
    <row r="90" spans="1:5" x14ac:dyDescent="0.3">
      <c r="A90" s="1"/>
      <c r="E90" s="7"/>
    </row>
    <row r="91" spans="1:5" x14ac:dyDescent="0.3">
      <c r="A91" s="1"/>
      <c r="E91" s="7"/>
    </row>
    <row r="92" spans="1:5" x14ac:dyDescent="0.3">
      <c r="A92" s="1"/>
      <c r="E92" s="7"/>
    </row>
    <row r="93" spans="1:5" x14ac:dyDescent="0.3">
      <c r="A93" s="1"/>
      <c r="E93" s="7"/>
    </row>
    <row r="94" spans="1:5" x14ac:dyDescent="0.3">
      <c r="A94" s="1"/>
      <c r="E94" s="7"/>
    </row>
    <row r="95" spans="1:5" x14ac:dyDescent="0.3">
      <c r="A95" s="1"/>
      <c r="E95" s="7"/>
    </row>
    <row r="96" spans="1:5" x14ac:dyDescent="0.3">
      <c r="A96" s="1"/>
      <c r="E96" s="7"/>
    </row>
    <row r="97" spans="1:5" x14ac:dyDescent="0.3">
      <c r="A97" s="1"/>
      <c r="E97" s="7"/>
    </row>
    <row r="98" spans="1:5" x14ac:dyDescent="0.3">
      <c r="A98" s="1"/>
      <c r="E98" s="7"/>
    </row>
    <row r="99" spans="1:5" x14ac:dyDescent="0.3">
      <c r="A99" s="1"/>
      <c r="E99" s="7"/>
    </row>
    <row r="100" spans="1:5" x14ac:dyDescent="0.3">
      <c r="A100" s="1"/>
      <c r="E100" s="7"/>
    </row>
    <row r="101" spans="1:5" x14ac:dyDescent="0.3">
      <c r="A101" s="1"/>
      <c r="E101" s="7"/>
    </row>
    <row r="102" spans="1:5" x14ac:dyDescent="0.3">
      <c r="A102" s="1"/>
      <c r="E102" s="7"/>
    </row>
    <row r="103" spans="1:5" x14ac:dyDescent="0.3">
      <c r="A103" s="1"/>
      <c r="E103" s="7"/>
    </row>
    <row r="104" spans="1:5" x14ac:dyDescent="0.3">
      <c r="A104" s="1"/>
      <c r="E104" s="7"/>
    </row>
    <row r="105" spans="1:5" x14ac:dyDescent="0.3">
      <c r="A105" s="1"/>
      <c r="E105" s="7"/>
    </row>
    <row r="106" spans="1:5" x14ac:dyDescent="0.3">
      <c r="A106" s="1"/>
      <c r="E106" s="7"/>
    </row>
    <row r="107" spans="1:5" x14ac:dyDescent="0.3">
      <c r="A107" s="1"/>
      <c r="E107" s="7"/>
    </row>
    <row r="108" spans="1:5" x14ac:dyDescent="0.3">
      <c r="A108" s="1"/>
      <c r="E108" s="7"/>
    </row>
    <row r="109" spans="1:5" x14ac:dyDescent="0.3">
      <c r="A109" s="1"/>
      <c r="E109" s="7"/>
    </row>
    <row r="110" spans="1:5" x14ac:dyDescent="0.3">
      <c r="A110" s="1"/>
      <c r="E110" s="7"/>
    </row>
    <row r="111" spans="1:5" x14ac:dyDescent="0.3">
      <c r="A111" s="1"/>
      <c r="E111" s="7"/>
    </row>
    <row r="112" spans="1:5" x14ac:dyDescent="0.3">
      <c r="A112" s="1"/>
      <c r="E112" s="7"/>
    </row>
    <row r="113" spans="1:5" x14ac:dyDescent="0.3">
      <c r="A113" s="1"/>
      <c r="E113" s="7"/>
    </row>
    <row r="114" spans="1:5" x14ac:dyDescent="0.3">
      <c r="A114" s="1"/>
      <c r="E114" s="7"/>
    </row>
    <row r="115" spans="1:5" x14ac:dyDescent="0.3">
      <c r="A115" s="1"/>
      <c r="E115" s="7"/>
    </row>
    <row r="116" spans="1:5" x14ac:dyDescent="0.3">
      <c r="A116" s="1"/>
      <c r="E116" s="7"/>
    </row>
    <row r="117" spans="1:5" x14ac:dyDescent="0.3">
      <c r="A117" s="1"/>
      <c r="E117" s="7"/>
    </row>
    <row r="118" spans="1:5" x14ac:dyDescent="0.3">
      <c r="A118" s="1"/>
      <c r="E118" s="7"/>
    </row>
    <row r="119" spans="1:5" x14ac:dyDescent="0.3">
      <c r="A119" s="1"/>
      <c r="E119" s="7"/>
    </row>
    <row r="120" spans="1:5" x14ac:dyDescent="0.3">
      <c r="A120" s="1"/>
      <c r="E120" s="7"/>
    </row>
    <row r="121" spans="1:5" x14ac:dyDescent="0.3">
      <c r="A121" s="1"/>
      <c r="E121" s="7"/>
    </row>
    <row r="122" spans="1:5" x14ac:dyDescent="0.3">
      <c r="A122" s="1"/>
      <c r="E122" s="7"/>
    </row>
    <row r="123" spans="1:5" x14ac:dyDescent="0.3">
      <c r="A123" s="1"/>
      <c r="E123" s="7"/>
    </row>
    <row r="124" spans="1:5" x14ac:dyDescent="0.3">
      <c r="A124" s="1"/>
      <c r="E124" s="7"/>
    </row>
    <row r="125" spans="1:5" x14ac:dyDescent="0.3">
      <c r="A125" s="1"/>
      <c r="E125" s="7"/>
    </row>
    <row r="126" spans="1:5" x14ac:dyDescent="0.3">
      <c r="A126" s="1"/>
      <c r="E126" s="7"/>
    </row>
    <row r="127" spans="1:5" x14ac:dyDescent="0.3">
      <c r="A127" s="1"/>
      <c r="E127" s="7"/>
    </row>
    <row r="128" spans="1:5" x14ac:dyDescent="0.3">
      <c r="A128" s="1"/>
      <c r="E128" s="7"/>
    </row>
    <row r="129" spans="1:5" x14ac:dyDescent="0.3">
      <c r="A129" s="1"/>
      <c r="E129" s="7"/>
    </row>
    <row r="130" spans="1:5" x14ac:dyDescent="0.3">
      <c r="A130" s="1"/>
      <c r="E130" s="7"/>
    </row>
    <row r="131" spans="1:5" x14ac:dyDescent="0.3">
      <c r="A131" s="1"/>
      <c r="E131" s="7"/>
    </row>
    <row r="132" spans="1:5" x14ac:dyDescent="0.3">
      <c r="A132" s="1"/>
      <c r="E132" s="7"/>
    </row>
    <row r="133" spans="1:5" x14ac:dyDescent="0.3">
      <c r="A133" s="1"/>
      <c r="E133" s="7"/>
    </row>
    <row r="134" spans="1:5" x14ac:dyDescent="0.3">
      <c r="A134" s="1"/>
      <c r="E134" s="7"/>
    </row>
    <row r="135" spans="1:5" x14ac:dyDescent="0.3">
      <c r="A135" s="1"/>
      <c r="E135" s="7"/>
    </row>
    <row r="136" spans="1:5" x14ac:dyDescent="0.3">
      <c r="A136" s="1"/>
      <c r="E136" s="7"/>
    </row>
    <row r="137" spans="1:5" x14ac:dyDescent="0.3">
      <c r="A137" s="1"/>
      <c r="E137" s="7"/>
    </row>
    <row r="138" spans="1:5" x14ac:dyDescent="0.3">
      <c r="A138" s="1"/>
      <c r="E138" s="7"/>
    </row>
    <row r="139" spans="1:5" x14ac:dyDescent="0.3">
      <c r="A139" s="1"/>
      <c r="E139" s="7"/>
    </row>
    <row r="140" spans="1:5" x14ac:dyDescent="0.3">
      <c r="A140" s="1"/>
      <c r="E140" s="7"/>
    </row>
    <row r="141" spans="1:5" x14ac:dyDescent="0.3">
      <c r="A141" s="1"/>
      <c r="E141" s="7"/>
    </row>
    <row r="142" spans="1:5" x14ac:dyDescent="0.3">
      <c r="A142" s="1"/>
      <c r="E142" s="7"/>
    </row>
    <row r="143" spans="1:5" x14ac:dyDescent="0.3">
      <c r="A143" s="1"/>
      <c r="E143" s="7"/>
    </row>
    <row r="144" spans="1:5" x14ac:dyDescent="0.3">
      <c r="A144" s="1"/>
      <c r="E144" s="7"/>
    </row>
    <row r="145" spans="1:5" x14ac:dyDescent="0.3">
      <c r="A145" s="1"/>
      <c r="E145" s="7"/>
    </row>
    <row r="146" spans="1:5" x14ac:dyDescent="0.3">
      <c r="A146" s="1"/>
      <c r="E146" s="7"/>
    </row>
    <row r="147" spans="1:5" x14ac:dyDescent="0.3">
      <c r="A147" s="1"/>
      <c r="E147" s="7"/>
    </row>
    <row r="148" spans="1:5" x14ac:dyDescent="0.3">
      <c r="A148" s="1"/>
      <c r="E148" s="7"/>
    </row>
    <row r="149" spans="1:5" x14ac:dyDescent="0.3">
      <c r="A149" s="1"/>
      <c r="E149" s="7"/>
    </row>
    <row r="150" spans="1:5" x14ac:dyDescent="0.3">
      <c r="A150" s="1"/>
      <c r="E150" s="7"/>
    </row>
    <row r="151" spans="1:5" x14ac:dyDescent="0.3">
      <c r="A151" s="1"/>
      <c r="E151" s="7"/>
    </row>
    <row r="152" spans="1:5" x14ac:dyDescent="0.3">
      <c r="A152" s="1"/>
      <c r="E152" s="7"/>
    </row>
    <row r="153" spans="1:5" x14ac:dyDescent="0.3">
      <c r="A153" s="1"/>
      <c r="E153" s="7"/>
    </row>
    <row r="154" spans="1:5" x14ac:dyDescent="0.3">
      <c r="A154" s="1"/>
      <c r="E154" s="7"/>
    </row>
    <row r="155" spans="1:5" x14ac:dyDescent="0.3">
      <c r="A155" s="1"/>
      <c r="E155" s="7"/>
    </row>
    <row r="156" spans="1:5" x14ac:dyDescent="0.3">
      <c r="A156" s="1"/>
      <c r="E156" s="7"/>
    </row>
    <row r="157" spans="1:5" x14ac:dyDescent="0.3">
      <c r="A157" s="1"/>
      <c r="E157" s="7"/>
    </row>
  </sheetData>
  <printOptions horizontalCentered="1"/>
  <pageMargins left="0.31496062992125984" right="0.31496062992125984" top="0.35433070866141736" bottom="0.35433070866141736" header="0.31496062992125984" footer="0.31496062992125984"/>
  <pageSetup scale="6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1.Afluencia</vt:lpstr>
      <vt:lpstr>2.Consumo-de-energia</vt:lpstr>
      <vt:lpstr>3.Consumo-de-agua</vt:lpstr>
      <vt:lpstr>4.Clima</vt:lpstr>
      <vt:lpstr>5.Gasto-vs-presupuesto</vt:lpstr>
      <vt:lpstr>6.Ingresos</vt:lpstr>
      <vt:lpstr>7.Ocupacion</vt:lpstr>
      <vt:lpstr>8.Ventas-socios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Rojo Calderón</dc:creator>
  <cp:lastModifiedBy>Emanuel Delgadillo Hernández</cp:lastModifiedBy>
  <cp:lastPrinted>2026-02-05T17:30:49Z</cp:lastPrinted>
  <dcterms:created xsi:type="dcterms:W3CDTF">2026-02-04T20:31:56Z</dcterms:created>
  <dcterms:modified xsi:type="dcterms:W3CDTF">2026-03-07T00:03:35Z</dcterms:modified>
</cp:coreProperties>
</file>